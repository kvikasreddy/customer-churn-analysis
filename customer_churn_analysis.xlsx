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9facd87be5781bc/Pictures/Documents/"/>
    </mc:Choice>
  </mc:AlternateContent>
  <xr:revisionPtr revIDLastSave="0" documentId="8_{19EC475D-00E9-47DC-9A7C-2AF96E6F88A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ADME" sheetId="1" r:id="rId1"/>
    <sheet name="Customer_Data" sheetId="2" r:id="rId2"/>
    <sheet name="Analysi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3" l="1"/>
  <c r="H29" i="3"/>
  <c r="H28" i="3"/>
  <c r="H27" i="3"/>
  <c r="E24" i="3"/>
  <c r="C24" i="3"/>
  <c r="D24" i="3" s="1"/>
  <c r="B24" i="3"/>
  <c r="K23" i="3"/>
  <c r="I23" i="3"/>
  <c r="J23" i="3" s="1"/>
  <c r="H23" i="3"/>
  <c r="E23" i="3"/>
  <c r="C23" i="3"/>
  <c r="D23" i="3" s="1"/>
  <c r="B23" i="3"/>
  <c r="K22" i="3"/>
  <c r="I22" i="3"/>
  <c r="J22" i="3" s="1"/>
  <c r="H22" i="3"/>
  <c r="E22" i="3"/>
  <c r="C22" i="3"/>
  <c r="D22" i="3" s="1"/>
  <c r="B22" i="3"/>
  <c r="K21" i="3"/>
  <c r="I21" i="3"/>
  <c r="J21" i="3" s="1"/>
  <c r="H21" i="3"/>
  <c r="E21" i="3"/>
  <c r="C21" i="3"/>
  <c r="D21" i="3" s="1"/>
  <c r="B21" i="3"/>
  <c r="I16" i="3"/>
  <c r="H16" i="3"/>
  <c r="J16" i="3" s="1"/>
  <c r="I15" i="3"/>
  <c r="J15" i="3" s="1"/>
  <c r="H15" i="3"/>
  <c r="E15" i="3"/>
  <c r="D15" i="3"/>
  <c r="C15" i="3"/>
  <c r="B15" i="3"/>
  <c r="I14" i="3"/>
  <c r="J14" i="3" s="1"/>
  <c r="H14" i="3"/>
  <c r="E14" i="3"/>
  <c r="C14" i="3"/>
  <c r="D14" i="3" s="1"/>
  <c r="B14" i="3"/>
  <c r="J13" i="3"/>
  <c r="I13" i="3"/>
  <c r="H13" i="3"/>
  <c r="E13" i="3"/>
  <c r="C13" i="3"/>
  <c r="B13" i="3"/>
  <c r="D13" i="3" s="1"/>
  <c r="B8" i="3"/>
  <c r="B7" i="3"/>
  <c r="J4" i="4" s="1"/>
  <c r="B5" i="3"/>
  <c r="B6" i="3" s="1"/>
  <c r="G4" i="4" s="1"/>
  <c r="B4" i="3"/>
  <c r="A4" i="4" s="1"/>
  <c r="D4" i="4" l="1"/>
</calcChain>
</file>

<file path=xl/sharedStrings.xml><?xml version="1.0" encoding="utf-8"?>
<sst xmlns="http://schemas.openxmlformats.org/spreadsheetml/2006/main" count="1880" uniqueCount="365">
  <si>
    <t>CUSTOMER CHURN ANALYSIS</t>
  </si>
  <si>
    <t>Purpose</t>
  </si>
  <si>
    <t>Analyze customer churn patterns and identify higher-risk contracts, regions, tenure groups and customer types.</t>
  </si>
  <si>
    <t>How to use</t>
  </si>
  <si>
    <t>Replace or extend the records in Customer_Data while keeping the same columns. Analysis and Dashboard formulas use that data.</t>
  </si>
  <si>
    <t>Included</t>
  </si>
  <si>
    <t>Customer-level data, churn KPIs, churn by contract, region, tenure, customer type, revenue at risk and data-quality checks.</t>
  </si>
  <si>
    <t>Project title</t>
  </si>
  <si>
    <t>Customer Churn Pattern Analysis Dashboard</t>
  </si>
  <si>
    <t>Note</t>
  </si>
  <si>
    <t>No detailed project brief or dataset was provided, so realistic sample data is included to demonstrate the analysis.</t>
  </si>
  <si>
    <t>Customer ID</t>
  </si>
  <si>
    <t>Join Date</t>
  </si>
  <si>
    <t>Region</t>
  </si>
  <si>
    <t>Customer Type</t>
  </si>
  <si>
    <t>Contract</t>
  </si>
  <si>
    <t>Tenure Months</t>
  </si>
  <si>
    <t>Monthly Charges</t>
  </si>
  <si>
    <t>Support Tickets</t>
  </si>
  <si>
    <t>Payment Method</t>
  </si>
  <si>
    <t>Churned</t>
  </si>
  <si>
    <t>Churn Date</t>
  </si>
  <si>
    <t>Revenue at Risk</t>
  </si>
  <si>
    <t>C0001</t>
  </si>
  <si>
    <t>North</t>
  </si>
  <si>
    <t>Individual</t>
  </si>
  <si>
    <t>One Year</t>
  </si>
  <si>
    <t>Card</t>
  </si>
  <si>
    <t>No</t>
  </si>
  <si>
    <t>C0002</t>
  </si>
  <si>
    <t>South</t>
  </si>
  <si>
    <t>C0003</t>
  </si>
  <si>
    <t>West</t>
  </si>
  <si>
    <t>Two Year</t>
  </si>
  <si>
    <t>C0004</t>
  </si>
  <si>
    <t>Direct Debit</t>
  </si>
  <si>
    <t>C0005</t>
  </si>
  <si>
    <t>Small Business</t>
  </si>
  <si>
    <t>Bank Transfer</t>
  </si>
  <si>
    <t>C0006</t>
  </si>
  <si>
    <t>C0007</t>
  </si>
  <si>
    <t>Monthly</t>
  </si>
  <si>
    <t>C0008</t>
  </si>
  <si>
    <t>East</t>
  </si>
  <si>
    <t>C0009</t>
  </si>
  <si>
    <t>Enterprise</t>
  </si>
  <si>
    <t>C0010</t>
  </si>
  <si>
    <t>C0011</t>
  </si>
  <si>
    <t>C0012</t>
  </si>
  <si>
    <t>C0013</t>
  </si>
  <si>
    <t>C0014</t>
  </si>
  <si>
    <t>C0015</t>
  </si>
  <si>
    <t>Yes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</si>
  <si>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</si>
  <si>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</si>
  <si>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</si>
  <si>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</si>
  <si>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</si>
  <si>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</si>
  <si>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</si>
  <si>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</si>
  <si>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</si>
  <si>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</si>
  <si>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</si>
  <si>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</si>
  <si>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</si>
  <si>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</si>
  <si>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</si>
  <si>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</si>
  <si>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</si>
  <si>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</si>
  <si>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</si>
  <si>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</si>
  <si>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</si>
  <si>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</si>
  <si>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</si>
  <si>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</si>
  <si>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</si>
  <si>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</si>
  <si>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</si>
  <si>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</si>
  <si>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</si>
  <si>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</si>
  <si>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</si>
  <si>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</si>
  <si>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</si>
  <si>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</si>
  <si>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</si>
  <si>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</si>
  <si>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</si>
  <si>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</si>
  <si>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</si>
  <si>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</si>
  <si>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</si>
  <si>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</si>
  <si>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</si>
  <si>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</si>
  <si>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</si>
  <si>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</si>
  <si>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</si>
  <si>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</si>
  <si>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</si>
  <si>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</si>
  <si>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</si>
  <si>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</si>
  <si>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</si>
  <si>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</si>
  <si>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</si>
  <si>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</si>
  <si>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</si>
  <si>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</si>
  <si>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</si>
  <si>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</si>
  <si>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</si>
  <si>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</si>
  <si>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</si>
  <si>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</si>
  <si>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</si>
  <si>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</si>
  <si>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</si>
  <si>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</si>
  <si>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</si>
  <si>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</si>
  <si>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</si>
  <si>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</si>
  <si>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</si>
  <si>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</si>
  <si>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</si>
  <si>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</si>
  <si>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</si>
  <si>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</si>
  <si>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</si>
  <si>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</si>
  <si>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</si>
  <si>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</si>
  <si>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</si>
  <si>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</si>
  <si>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</si>
  <si>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</si>
  <si>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</si>
  <si>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</si>
  <si>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</si>
  <si>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</si>
  <si>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</si>
  <si>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</si>
  <si>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</si>
  <si>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</si>
  <si>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</si>
  <si>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</si>
  <si>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</si>
  <si>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</si>
  <si>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</si>
  <si>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</si>
  <si>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</si>
  <si>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</si>
  <si>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</si>
  <si>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</si>
  <si>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</si>
  <si>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</si>
  <si>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</si>
  <si>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</si>
  <si>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</si>
  <si>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</si>
  <si>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</si>
  <si>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</si>
  <si>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</si>
  <si>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</si>
  <si>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</si>
  <si>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</si>
  <si>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</si>
  <si>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</si>
  <si>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</si>
  <si>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</si>
  <si>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</si>
  <si>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</si>
  <si>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</si>
  <si>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</si>
  <si>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</si>
  <si>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</si>
  <si>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</si>
  <si>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</si>
  <si>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</si>
  <si>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</si>
  <si>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</si>
  <si>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</si>
  <si>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</si>
  <si>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</si>
  <si>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</si>
  <si>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</si>
  <si>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</si>
  <si>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</si>
  <si>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</si>
  <si>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</si>
  <si>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</si>
  <si>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</si>
  <si>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</si>
  <si>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</si>
  <si>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</si>
  <si>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</si>
  <si>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</si>
  <si>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</si>
  <si>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</si>
  <si>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</si>
  <si>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</si>
  <si>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</si>
  <si>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</si>
  <si>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</si>
  <si>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</si>
  <si>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</si>
  <si>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</si>
  <si>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</si>
  <si>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</si>
  <si>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</si>
  <si>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</si>
  <si>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</si>
  <si>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</si>
  <si>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</si>
  <si>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</si>
  <si>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</si>
  <si>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</si>
  <si>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</si>
  <si>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</si>
  <si>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</si>
  <si>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</si>
  <si>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</si>
  <si>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</si>
  <si>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</si>
  <si>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</si>
  <si>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</si>
  <si>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</si>
  <si>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</si>
  <si>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</si>
  <si>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</si>
  <si>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</si>
  <si>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</si>
  <si>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</si>
  <si>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</si>
  <si>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</si>
  <si>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</si>
  <si>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</si>
  <si>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</si>
  <si>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</si>
  <si>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</si>
  <si>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</si>
  <si>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</si>
  <si>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</si>
  <si>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</si>
  <si>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</si>
  <si>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</si>
  <si>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</si>
  <si>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</si>
  <si>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</si>
  <si>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</si>
  <si>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</si>
  <si>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</si>
  <si>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</si>
  <si>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</si>
  <si>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</si>
  <si>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</si>
  <si>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</si>
  <si>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</si>
  <si>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</si>
  <si>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</si>
  <si>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</si>
  <si>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</si>
  <si>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</si>
  <si>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</si>
  <si>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</si>
  <si>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</si>
  <si>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</si>
  <si>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</si>
  <si>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</si>
  <si>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</si>
  <si>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</si>
  <si>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</si>
  <si>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</si>
  <si>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</si>
  <si>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</si>
  <si>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</si>
  <si>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</si>
  <si>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</si>
  <si>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</si>
  <si>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</si>
  <si>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</si>
  <si>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</si>
  <si>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</si>
  <si>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</si>
  <si>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</si>
  <si>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</si>
  <si>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</si>
  <si>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</si>
  <si>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</si>
  <si>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</si>
  <si>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</si>
  <si>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</si>
  <si>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</si>
  <si>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</si>
  <si>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</si>
  <si>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</si>
  <si>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</si>
  <si>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</si>
  <si>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</si>
  <si>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</si>
  <si>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</si>
  <si>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</si>
  <si>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</si>
  <si>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</si>
  <si>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</si>
  <si>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</si>
  <si>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</si>
  <si>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</si>
  <si>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</si>
  <si>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</si>
  <si>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</si>
  <si>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</si>
  <si>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</si>
  <si>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</si>
  <si>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</si>
  <si>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</si>
  <si>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</si>
  <si>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</si>
  <si>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</si>
  <si>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</si>
  <si>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</si>
  <si>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</si>
  <si>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</si>
  <si>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</si>
  <si>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</si>
  <si>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</si>
  <si>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</si>
  <si>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</si>
  <si>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</si>
  <si>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</si>
  <si>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</si>
  <si>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</si>
  <si>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</si>
  <si>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</si>
  <si>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</si>
  <si>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AUTOMATED CHURN ANALYSIS</t>
  </si>
  <si>
    <t>KPI</t>
  </si>
  <si>
    <t>Value</t>
  </si>
  <si>
    <t>Total Customers</t>
  </si>
  <si>
    <t>Churned Customers</t>
  </si>
  <si>
    <t>Churn Rate</t>
  </si>
  <si>
    <t>Monthly Revenue at Risk</t>
  </si>
  <si>
    <t>Avg Tenure - Churned</t>
  </si>
  <si>
    <t>CHURN BY CONTRACT</t>
  </si>
  <si>
    <t>CHURN BY REGION</t>
  </si>
  <si>
    <t>Customers</t>
  </si>
  <si>
    <t>CHURN BY TENURE</t>
  </si>
  <si>
    <t>CHURN BY CUSTOMER TYPE</t>
  </si>
  <si>
    <t>Tenure</t>
  </si>
  <si>
    <t>Type</t>
  </si>
  <si>
    <t>0-6</t>
  </si>
  <si>
    <t>7-12</t>
  </si>
  <si>
    <t>13-24</t>
  </si>
  <si>
    <t>25+</t>
  </si>
  <si>
    <t>DATA QUALITY CHECK</t>
  </si>
  <si>
    <t>Blank Customer IDs</t>
  </si>
  <si>
    <t>Blank Regions</t>
  </si>
  <si>
    <t>Blank Churn Status</t>
  </si>
  <si>
    <t>Negative Charges</t>
  </si>
  <si>
    <t>CUSTOMER CHURN DASHBOARD</t>
  </si>
  <si>
    <t>Customer churn overview</t>
  </si>
  <si>
    <t>The charts highlight the customer segments with higher churn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</si>
</sst>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\-mmm\-yyyy"/>
    <numFmt numFmtId="166" formatCode="\$#,##0.00"/>
    <numFmt numFmtId="167" formatCode="0.0%"/>
    <numFmt numFmtId="168" formatCode="0.0"/>
    <numFmt numFmtId="169" formatCode="\$#,##0"/>
  </numFmts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24"/>
      <color rgb="FFFFFFFF"/>
      <name val="Calibri"/>
    </font>
    <font>
      <b/>
      <sz val="20"/>
      <name val="Calibri"/>
    </font>
    <font>
      <b/>
      <sz val="14"/>
      <name val="Calibri"/>
    </font>
    <font>
      <i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0" xfId="0" applyFont="1" applyFill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3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4" fillId="2" borderId="0" xfId="0" applyFont="1" applyFill="1"/>
    <xf numFmtId="0" fontId="0" fillId="0" borderId="0" xfId="0"/>
    <xf numFmtId="0" fontId="1" fillId="2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3" fontId="6" fillId="3" borderId="0" xfId="0" applyNumberFormat="1" applyFont="1" applyFill="1" applyAlignment="1">
      <alignment horizontal="center" vertical="center"/>
    </xf>
    <xf numFmtId="167" fontId="6" fillId="3" borderId="0" xfId="0" applyNumberFormat="1" applyFont="1" applyFill="1" applyAlignment="1">
      <alignment horizontal="center" vertical="center"/>
    </xf>
    <xf numFmtId="169" fontId="6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Churn Rate by Contract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Analysis!$D$12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Analysis!$A$13:$A$15</c:f>
              <c:strCache>
                <c:ptCount val="3"/>
                <c:pt idx="0">
                  <c:v>Monthly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Analysis!$D$13:$D$15</c:f>
              <c:numCache>
                <c:formatCode>0.0%</c:formatCode>
                <c:ptCount val="3"/>
                <c:pt idx="0">
                  <c:v>0.26785714285714285</c:v>
                </c:pt>
                <c:pt idx="1">
                  <c:v>0.15730337078651685</c:v>
                </c:pt>
                <c:pt idx="2">
                  <c:v>0.13953488372093023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2-4DC0-8F78-D287BAC8B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Churn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Churn Rate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Analysis!$J$12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Analysis!$G$13:$G$16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Analysis!$J$13:$J$16</c:f>
              <c:numCache>
                <c:formatCode>0.0%</c:formatCode>
                <c:ptCount val="4"/>
                <c:pt idx="0">
                  <c:v>0.24050632911392406</c:v>
                </c:pt>
                <c:pt idx="1">
                  <c:v>0.22222222222222221</c:v>
                </c:pt>
                <c:pt idx="2">
                  <c:v>0.22535211267605634</c:v>
                </c:pt>
                <c:pt idx="3">
                  <c:v>0.17948717948717949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8-4CE5-82B3-034F29FF9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Churn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Churned Customers by Tenure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Analysis!$C$20</c:f>
              <c:strCache>
                <c:ptCount val="1"/>
                <c:pt idx="0">
                  <c:v>Churned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Analysis!$A$21:$A$24</c:f>
              <c:strCache>
                <c:ptCount val="4"/>
                <c:pt idx="0">
                  <c:v>0-6</c:v>
                </c:pt>
                <c:pt idx="1">
                  <c:v>7-12</c:v>
                </c:pt>
                <c:pt idx="2">
                  <c:v>13-24</c:v>
                </c:pt>
                <c:pt idx="3">
                  <c:v>25+</c:v>
                </c:pt>
              </c:strCache>
            </c:strRef>
          </c:cat>
          <c:val>
            <c:numRef>
              <c:f>Analysis!$C$21:$C$24</c:f>
              <c:numCache>
                <c:formatCode>General</c:formatCode>
                <c:ptCount val="4"/>
                <c:pt idx="0">
                  <c:v>24</c:v>
                </c:pt>
                <c:pt idx="1">
                  <c:v>8</c:v>
                </c:pt>
                <c:pt idx="2">
                  <c:v>10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2-4885-975B-9A3C27130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Churn Rate by Customer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Analysis!$J$20</c:f>
              <c:strCache>
                <c:ptCount val="1"/>
                <c:pt idx="0">
                  <c:v>Churn Rate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Analysis!$G$21:$G$23</c:f>
              <c:strCache>
                <c:ptCount val="3"/>
                <c:pt idx="0">
                  <c:v>Individual</c:v>
                </c:pt>
                <c:pt idx="1">
                  <c:v>Small Business</c:v>
                </c:pt>
                <c:pt idx="2">
                  <c:v>Enterprise</c:v>
                </c:pt>
              </c:strCache>
            </c:strRef>
          </c:cat>
          <c:val>
            <c:numRef>
              <c:f>Analysis!$J$21:$J$23</c:f>
              <c:numCache>
                <c:formatCode>0.0%</c:formatCode>
                <c:ptCount val="3"/>
                <c:pt idx="0">
                  <c:v>0.22500000000000001</c:v>
                </c:pt>
                <c:pt idx="1">
                  <c:v>0.26804123711340205</c:v>
                </c:pt>
                <c:pt idx="2">
                  <c:v>0.14457831325301204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5-4F8D-A82A-07419C2CB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Churn Rate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9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6</xdr:col>
      <xdr:colOff>0</xdr:colOff>
      <xdr:row>24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Data" displayName="CustomerData" ref="A1:L301">
  <autoFilter ref="A1:L301" xr:uid="{00000000-0009-0000-0100-000001000000}"/>
  <tableColumns count="12">
    <tableColumn id="1" xr3:uid="{00000000-0010-0000-0000-000001000000}" name="Customer ID"/>
    <tableColumn id="2" xr3:uid="{00000000-0010-0000-0000-000002000000}" name="Join Date"/>
    <tableColumn id="3" xr3:uid="{00000000-0010-0000-0000-000003000000}" name="Region"/>
    <tableColumn id="4" xr3:uid="{00000000-0010-0000-0000-000004000000}" name="Customer Type"/>
    <tableColumn id="5" xr3:uid="{00000000-0010-0000-0000-000005000000}" name="Contract"/>
    <tableColumn id="6" xr3:uid="{00000000-0010-0000-0000-000006000000}" name="Tenure Months"/>
    <tableColumn id="7" xr3:uid="{00000000-0010-0000-0000-000007000000}" name="Monthly Charges"/>
    <tableColumn id="8" xr3:uid="{00000000-0010-0000-0000-000008000000}" name="Support Tickets"/>
    <tableColumn id="9" xr3:uid="{00000000-0010-0000-0000-000009000000}" name="Payment Method"/>
    <tableColumn id="10" xr3:uid="{00000000-0010-0000-0000-00000A000000}" name="Churned"/>
    <tableColumn id="11" xr3:uid="{00000000-0010-0000-0000-00000B000000}" name="Churn Date"/>
    <tableColumn id="12" xr3:uid="{00000000-0010-0000-0000-00000C000000}" name="Revenue at Ri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cols>
    <col min="1" max="1" width="20" customWidth="1"/>
    <col min="2" max="2" width="105" customWidth="1"/>
  </cols>
  <sheetData>
    <row r="1" spans="1:2" ht="25.8" x14ac:dyDescent="0.5">
      <c r="A1" s="1" t="s">
        <v>0</v>
      </c>
      <c r="B1" s="2"/>
    </row>
    <row r="2" spans="1:2" x14ac:dyDescent="0.3">
      <c r="A2" s="3" t="s">
        <v>1</v>
      </c>
      <c r="B2" s="4" t="s">
        <v>2</v>
      </c>
    </row>
    <row r="3" spans="1:2" ht="28.8" x14ac:dyDescent="0.3">
      <c r="A3" s="3" t="s">
        <v>3</v>
      </c>
      <c r="B3" s="4" t="s">
        <v>4</v>
      </c>
    </row>
    <row r="4" spans="1:2" x14ac:dyDescent="0.3">
      <c r="A4" s="3" t="s">
        <v>5</v>
      </c>
      <c r="B4" s="4" t="s">
        <v>6</v>
      </c>
    </row>
    <row r="5" spans="1:2" x14ac:dyDescent="0.3">
      <c r="A5" s="3" t="s">
        <v>7</v>
      </c>
      <c r="B5" s="4" t="s">
        <v>8</v>
      </c>
    </row>
    <row r="6" spans="1:2" x14ac:dyDescent="0.3">
      <c r="A6" s="3" t="s">
        <v>9</v>
      </c>
      <c r="B6" s="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2" customWidth="1"/>
    <col min="4" max="4" width="18" customWidth="1"/>
    <col min="5" max="5" width="14" customWidth="1"/>
    <col min="6" max="6" width="15" customWidth="1"/>
    <col min="7" max="8" width="16" customWidth="1"/>
    <col min="9" max="9" width="18" customWidth="1"/>
    <col min="10" max="10" width="12" customWidth="1"/>
    <col min="11" max="11" width="14" customWidth="1"/>
    <col min="12" max="12" width="16" customWidth="1"/>
  </cols>
  <sheetData>
    <row r="1" spans="1:12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</row>
    <row r="2" spans="1:12" x14ac:dyDescent="0.3">
      <c r="A2" t="s">
        <v>23</v>
      </c>
      <c r="B2" s="6">
        <v>45729</v>
      </c>
      <c r="C2" t="s">
        <v>24</v>
      </c>
      <c r="D2" t="s">
        <v>25</v>
      </c>
      <c r="E2" t="s">
        <v>26</v>
      </c>
      <c r="F2">
        <v>17</v>
      </c>
      <c r="G2" s="7">
        <v>38.97</v>
      </c>
      <c r="H2">
        <v>0</v>
      </c>
      <c r="I2" t="s">
        <v>27</v>
      </c>
      <c r="J2" t="s">
        <v>28</v>
      </c>
      <c r="K2" s="6"/>
      <c r="L2" s="7">
        <v>0</v>
      </c>
    </row>
    <row r="3" spans="1:12" x14ac:dyDescent="0.3">
      <c r="A3" t="s">
        <v>29</v>
      </c>
      <c r="B3" s="6">
        <v>46115</v>
      </c>
      <c r="C3" t="s">
        <v>30</v>
      </c>
      <c r="D3" t="s">
        <v>25</v>
      </c>
      <c r="E3" t="s">
        <v>26</v>
      </c>
      <c r="F3">
        <v>4</v>
      </c>
      <c r="G3" s="7">
        <v>37.86</v>
      </c>
      <c r="H3">
        <v>1</v>
      </c>
      <c r="I3" t="s">
        <v>27</v>
      </c>
      <c r="J3" t="s">
        <v>28</v>
      </c>
      <c r="K3" s="6"/>
      <c r="L3" s="7">
        <v>0</v>
      </c>
    </row>
    <row r="4" spans="1:12" x14ac:dyDescent="0.3">
      <c r="A4" t="s">
        <v>31</v>
      </c>
      <c r="B4" s="6">
        <v>45218</v>
      </c>
      <c r="C4" t="s">
        <v>32</v>
      </c>
      <c r="D4" t="s">
        <v>25</v>
      </c>
      <c r="E4" t="s">
        <v>33</v>
      </c>
      <c r="F4">
        <v>34</v>
      </c>
      <c r="G4" s="7">
        <v>37.47</v>
      </c>
      <c r="H4">
        <v>4</v>
      </c>
      <c r="I4" t="s">
        <v>27</v>
      </c>
      <c r="J4" t="s">
        <v>28</v>
      </c>
      <c r="K4" s="6"/>
      <c r="L4" s="7">
        <v>0</v>
      </c>
    </row>
    <row r="5" spans="1:12" x14ac:dyDescent="0.3">
      <c r="A5" t="s">
        <v>34</v>
      </c>
      <c r="B5" s="6">
        <v>45922</v>
      </c>
      <c r="C5" t="s">
        <v>30</v>
      </c>
      <c r="D5" t="s">
        <v>25</v>
      </c>
      <c r="E5" t="s">
        <v>26</v>
      </c>
      <c r="F5">
        <v>11</v>
      </c>
      <c r="G5" s="7">
        <v>56.13</v>
      </c>
      <c r="H5">
        <v>2</v>
      </c>
      <c r="I5" t="s">
        <v>35</v>
      </c>
      <c r="J5" t="s">
        <v>28</v>
      </c>
      <c r="K5" s="6"/>
      <c r="L5" s="7">
        <v>0</v>
      </c>
    </row>
    <row r="6" spans="1:12" x14ac:dyDescent="0.3">
      <c r="A6" t="s">
        <v>36</v>
      </c>
      <c r="B6" s="6">
        <v>45201</v>
      </c>
      <c r="C6" t="s">
        <v>30</v>
      </c>
      <c r="D6" t="s">
        <v>37</v>
      </c>
      <c r="E6" t="s">
        <v>26</v>
      </c>
      <c r="F6">
        <v>34</v>
      </c>
      <c r="G6" s="7">
        <v>98.94</v>
      </c>
      <c r="H6">
        <v>2</v>
      </c>
      <c r="I6" t="s">
        <v>38</v>
      </c>
      <c r="J6" t="s">
        <v>28</v>
      </c>
      <c r="K6" s="6"/>
      <c r="L6" s="7">
        <v>0</v>
      </c>
    </row>
    <row r="7" spans="1:12" x14ac:dyDescent="0.3">
      <c r="A7" t="s">
        <v>39</v>
      </c>
      <c r="B7" s="6">
        <v>45374</v>
      </c>
      <c r="C7" t="s">
        <v>30</v>
      </c>
      <c r="D7" t="s">
        <v>25</v>
      </c>
      <c r="E7" t="s">
        <v>26</v>
      </c>
      <c r="F7">
        <v>29</v>
      </c>
      <c r="G7" s="7">
        <v>52.54</v>
      </c>
      <c r="H7">
        <v>5</v>
      </c>
      <c r="I7" t="s">
        <v>35</v>
      </c>
      <c r="J7" t="s">
        <v>28</v>
      </c>
      <c r="K7" s="6"/>
      <c r="L7" s="7">
        <v>0</v>
      </c>
    </row>
    <row r="8" spans="1:12" x14ac:dyDescent="0.3">
      <c r="A8" t="s">
        <v>40</v>
      </c>
      <c r="B8" s="6">
        <v>46101</v>
      </c>
      <c r="C8" t="s">
        <v>24</v>
      </c>
      <c r="D8" t="s">
        <v>25</v>
      </c>
      <c r="E8" t="s">
        <v>41</v>
      </c>
      <c r="F8">
        <v>5</v>
      </c>
      <c r="G8" s="7">
        <v>41.2</v>
      </c>
      <c r="H8">
        <v>0</v>
      </c>
      <c r="I8" t="s">
        <v>35</v>
      </c>
      <c r="J8" t="s">
        <v>28</v>
      </c>
      <c r="K8" s="6"/>
      <c r="L8" s="7">
        <v>0</v>
      </c>
    </row>
    <row r="9" spans="1:12" x14ac:dyDescent="0.3">
      <c r="A9" t="s">
        <v>42</v>
      </c>
      <c r="B9" s="6">
        <v>45188</v>
      </c>
      <c r="C9" t="s">
        <v>43</v>
      </c>
      <c r="D9" t="s">
        <v>37</v>
      </c>
      <c r="E9" t="s">
        <v>26</v>
      </c>
      <c r="F9">
        <v>35</v>
      </c>
      <c r="G9" s="7">
        <v>109.45</v>
      </c>
      <c r="H9">
        <v>7</v>
      </c>
      <c r="I9" t="s">
        <v>38</v>
      </c>
      <c r="J9" t="s">
        <v>28</v>
      </c>
      <c r="K9" s="6"/>
      <c r="L9" s="7">
        <v>0</v>
      </c>
    </row>
    <row r="10" spans="1:12" x14ac:dyDescent="0.3">
      <c r="A10" t="s">
        <v>44</v>
      </c>
      <c r="B10" s="6">
        <v>44966</v>
      </c>
      <c r="C10" t="s">
        <v>32</v>
      </c>
      <c r="D10" t="s">
        <v>45</v>
      </c>
      <c r="E10" t="s">
        <v>26</v>
      </c>
      <c r="F10">
        <v>42</v>
      </c>
      <c r="G10" s="7">
        <v>151.63999999999999</v>
      </c>
      <c r="H10">
        <v>2</v>
      </c>
      <c r="I10" t="s">
        <v>38</v>
      </c>
      <c r="J10" t="s">
        <v>28</v>
      </c>
      <c r="K10" s="6"/>
      <c r="L10" s="7">
        <v>0</v>
      </c>
    </row>
    <row r="11" spans="1:12" x14ac:dyDescent="0.3">
      <c r="A11" t="s">
        <v>46</v>
      </c>
      <c r="B11" s="6">
        <v>46004</v>
      </c>
      <c r="C11" t="s">
        <v>43</v>
      </c>
      <c r="D11" t="s">
        <v>25</v>
      </c>
      <c r="E11" t="s">
        <v>33</v>
      </c>
      <c r="F11">
        <v>8</v>
      </c>
      <c r="G11" s="7">
        <v>47.2</v>
      </c>
      <c r="H11">
        <v>0</v>
      </c>
      <c r="I11" t="s">
        <v>38</v>
      </c>
      <c r="J11" t="s">
        <v>28</v>
      </c>
      <c r="K11" s="6"/>
      <c r="L11" s="7">
        <v>0</v>
      </c>
    </row>
    <row r="12" spans="1:12" x14ac:dyDescent="0.3">
      <c r="A12" t="s">
        <v>47</v>
      </c>
      <c r="B12" s="6">
        <v>45041</v>
      </c>
      <c r="C12" t="s">
        <v>43</v>
      </c>
      <c r="D12" t="s">
        <v>25</v>
      </c>
      <c r="E12" t="s">
        <v>26</v>
      </c>
      <c r="F12">
        <v>40</v>
      </c>
      <c r="G12" s="7">
        <v>48.53</v>
      </c>
      <c r="H12">
        <v>5</v>
      </c>
      <c r="I12" t="s">
        <v>38</v>
      </c>
      <c r="J12" t="s">
        <v>28</v>
      </c>
      <c r="K12" s="6"/>
      <c r="L12" s="7">
        <v>0</v>
      </c>
    </row>
    <row r="13" spans="1:12" x14ac:dyDescent="0.3">
      <c r="A13" t="s">
        <v>48</v>
      </c>
      <c r="B13" s="6">
        <v>45730</v>
      </c>
      <c r="C13" t="s">
        <v>43</v>
      </c>
      <c r="D13" t="s">
        <v>45</v>
      </c>
      <c r="E13" t="s">
        <v>41</v>
      </c>
      <c r="F13">
        <v>17</v>
      </c>
      <c r="G13" s="7">
        <v>189.21</v>
      </c>
      <c r="H13">
        <v>2</v>
      </c>
      <c r="I13" t="s">
        <v>27</v>
      </c>
      <c r="J13" t="s">
        <v>28</v>
      </c>
      <c r="K13" s="6"/>
      <c r="L13" s="7">
        <v>0</v>
      </c>
    </row>
    <row r="14" spans="1:12" x14ac:dyDescent="0.3">
      <c r="A14" t="s">
        <v>49</v>
      </c>
      <c r="B14" s="6">
        <v>45328</v>
      </c>
      <c r="C14" t="s">
        <v>30</v>
      </c>
      <c r="D14" t="s">
        <v>25</v>
      </c>
      <c r="E14" t="s">
        <v>26</v>
      </c>
      <c r="F14">
        <v>30</v>
      </c>
      <c r="G14" s="7">
        <v>36.380000000000003</v>
      </c>
      <c r="H14">
        <v>4</v>
      </c>
      <c r="I14" t="s">
        <v>27</v>
      </c>
      <c r="J14" t="s">
        <v>28</v>
      </c>
      <c r="K14" s="6"/>
      <c r="L14" s="7">
        <v>0</v>
      </c>
    </row>
    <row r="15" spans="1:12" x14ac:dyDescent="0.3">
      <c r="A15" t="s">
        <v>50</v>
      </c>
      <c r="B15" s="6">
        <v>46154</v>
      </c>
      <c r="C15" t="s">
        <v>43</v>
      </c>
      <c r="D15" t="s">
        <v>25</v>
      </c>
      <c r="E15" t="s">
        <v>26</v>
      </c>
      <c r="F15">
        <v>3</v>
      </c>
      <c r="G15" s="7">
        <v>52.24</v>
      </c>
      <c r="H15">
        <v>2</v>
      </c>
      <c r="I15" t="s">
        <v>35</v>
      </c>
      <c r="J15" t="s">
        <v>28</v>
      </c>
      <c r="K15" s="6"/>
      <c r="L15" s="7">
        <v>0</v>
      </c>
    </row>
    <row r="16" spans="1:12" x14ac:dyDescent="0.3">
      <c r="A16" t="s">
        <v>51</v>
      </c>
      <c r="B16" s="6">
        <v>45163</v>
      </c>
      <c r="C16" t="s">
        <v>32</v>
      </c>
      <c r="D16" t="s">
        <v>37</v>
      </c>
      <c r="E16" t="s">
        <v>41</v>
      </c>
      <c r="F16">
        <v>36</v>
      </c>
      <c r="G16" s="7">
        <v>78.52</v>
      </c>
      <c r="H16">
        <v>3</v>
      </c>
      <c r="I16" t="s">
        <v>38</v>
      </c>
      <c r="J16" t="s">
        <v>52</v>
      </c>
      <c r="K16" s="6">
        <v>45620</v>
      </c>
      <c r="L16" s="7">
        <v>78.52</v>
      </c>
    </row>
    <row r="17" spans="1:12" x14ac:dyDescent="0.3">
      <c r="A17" t="s">
        <v>53</v>
      </c>
      <c r="B17" s="6">
        <v>45333</v>
      </c>
      <c r="C17" t="s">
        <v>24</v>
      </c>
      <c r="D17" t="s">
        <v>25</v>
      </c>
      <c r="E17" t="s">
        <v>41</v>
      </c>
      <c r="F17">
        <v>30</v>
      </c>
      <c r="G17" s="7">
        <v>40.76</v>
      </c>
      <c r="H17">
        <v>2</v>
      </c>
      <c r="I17" t="s">
        <v>35</v>
      </c>
      <c r="J17" t="s">
        <v>52</v>
      </c>
      <c r="K17" s="6">
        <v>45735</v>
      </c>
      <c r="L17" s="7">
        <v>40.76</v>
      </c>
    </row>
    <row r="18" spans="1:12" x14ac:dyDescent="0.3">
      <c r="A18" t="s">
        <v>54</v>
      </c>
      <c r="B18" s="6">
        <v>44964</v>
      </c>
      <c r="C18" t="s">
        <v>32</v>
      </c>
      <c r="D18" t="s">
        <v>25</v>
      </c>
      <c r="E18" t="s">
        <v>26</v>
      </c>
      <c r="F18">
        <v>42</v>
      </c>
      <c r="G18" s="7">
        <v>66.099999999999994</v>
      </c>
      <c r="H18">
        <v>1</v>
      </c>
      <c r="I18" t="s">
        <v>38</v>
      </c>
      <c r="J18" t="s">
        <v>52</v>
      </c>
      <c r="K18" s="6">
        <v>45993</v>
      </c>
      <c r="L18" s="7">
        <v>66.099999999999994</v>
      </c>
    </row>
    <row r="19" spans="1:12" x14ac:dyDescent="0.3">
      <c r="A19" t="s">
        <v>55</v>
      </c>
      <c r="B19" s="6">
        <v>46122</v>
      </c>
      <c r="C19" t="s">
        <v>24</v>
      </c>
      <c r="D19" t="s">
        <v>25</v>
      </c>
      <c r="E19" t="s">
        <v>41</v>
      </c>
      <c r="F19">
        <v>4</v>
      </c>
      <c r="G19" s="7">
        <v>46.79</v>
      </c>
      <c r="H19">
        <v>2</v>
      </c>
      <c r="I19" t="s">
        <v>35</v>
      </c>
      <c r="J19" t="s">
        <v>52</v>
      </c>
      <c r="K19" s="6">
        <v>46172</v>
      </c>
      <c r="L19" s="7">
        <v>46.79</v>
      </c>
    </row>
    <row r="20" spans="1:12" x14ac:dyDescent="0.3">
      <c r="A20" t="s">
        <v>56</v>
      </c>
      <c r="B20" s="6">
        <v>45033</v>
      </c>
      <c r="C20" t="s">
        <v>43</v>
      </c>
      <c r="D20" t="s">
        <v>25</v>
      </c>
      <c r="E20" t="s">
        <v>26</v>
      </c>
      <c r="F20">
        <v>40</v>
      </c>
      <c r="G20" s="7">
        <v>64.8</v>
      </c>
      <c r="H20">
        <v>3</v>
      </c>
      <c r="I20" t="s">
        <v>27</v>
      </c>
      <c r="J20" t="s">
        <v>28</v>
      </c>
      <c r="K20" s="6"/>
      <c r="L20" s="7">
        <v>0</v>
      </c>
    </row>
    <row r="21" spans="1:12" x14ac:dyDescent="0.3">
      <c r="A21" t="s">
        <v>57</v>
      </c>
      <c r="B21" s="6">
        <v>45912</v>
      </c>
      <c r="C21" t="s">
        <v>30</v>
      </c>
      <c r="D21" t="s">
        <v>37</v>
      </c>
      <c r="E21" t="s">
        <v>26</v>
      </c>
      <c r="F21">
        <v>11</v>
      </c>
      <c r="G21" s="7">
        <v>105.55</v>
      </c>
      <c r="H21">
        <v>1</v>
      </c>
      <c r="I21" t="s">
        <v>38</v>
      </c>
      <c r="J21" t="s">
        <v>28</v>
      </c>
      <c r="K21" s="6"/>
      <c r="L21" s="7">
        <v>0</v>
      </c>
    </row>
    <row r="22" spans="1:12" x14ac:dyDescent="0.3">
      <c r="A22" t="s">
        <v>58</v>
      </c>
      <c r="B22" s="6">
        <v>45591</v>
      </c>
      <c r="C22" t="s">
        <v>30</v>
      </c>
      <c r="D22" t="s">
        <v>25</v>
      </c>
      <c r="E22" t="s">
        <v>26</v>
      </c>
      <c r="F22">
        <v>22</v>
      </c>
      <c r="G22" s="7">
        <v>59.31</v>
      </c>
      <c r="H22">
        <v>3</v>
      </c>
      <c r="I22" t="s">
        <v>27</v>
      </c>
      <c r="J22" t="s">
        <v>28</v>
      </c>
      <c r="K22" s="6"/>
      <c r="L22" s="7">
        <v>0</v>
      </c>
    </row>
    <row r="23" spans="1:12" x14ac:dyDescent="0.3">
      <c r="A23" t="s">
        <v>59</v>
      </c>
      <c r="B23" s="6">
        <v>45062</v>
      </c>
      <c r="C23" t="s">
        <v>43</v>
      </c>
      <c r="D23" t="s">
        <v>25</v>
      </c>
      <c r="E23" t="s">
        <v>26</v>
      </c>
      <c r="F23">
        <v>39</v>
      </c>
      <c r="G23" s="7">
        <v>66.13</v>
      </c>
      <c r="H23">
        <v>5</v>
      </c>
      <c r="I23" t="s">
        <v>35</v>
      </c>
      <c r="J23" t="s">
        <v>28</v>
      </c>
      <c r="K23" s="6"/>
      <c r="L23" s="7">
        <v>0</v>
      </c>
    </row>
    <row r="24" spans="1:12" x14ac:dyDescent="0.3">
      <c r="A24" t="s">
        <v>60</v>
      </c>
      <c r="B24" s="6">
        <v>45811</v>
      </c>
      <c r="C24" t="s">
        <v>30</v>
      </c>
      <c r="D24" t="s">
        <v>25</v>
      </c>
      <c r="E24" t="s">
        <v>41</v>
      </c>
      <c r="F24">
        <v>14</v>
      </c>
      <c r="G24" s="7">
        <v>42.2</v>
      </c>
      <c r="H24">
        <v>4</v>
      </c>
      <c r="I24" t="s">
        <v>27</v>
      </c>
      <c r="J24" t="s">
        <v>28</v>
      </c>
      <c r="K24" s="6"/>
      <c r="L24" s="7">
        <v>0</v>
      </c>
    </row>
    <row r="25" spans="1:12" x14ac:dyDescent="0.3">
      <c r="A25" t="s">
        <v>61</v>
      </c>
      <c r="B25" s="6">
        <v>46185</v>
      </c>
      <c r="C25" t="s">
        <v>24</v>
      </c>
      <c r="D25" t="s">
        <v>45</v>
      </c>
      <c r="E25" t="s">
        <v>41</v>
      </c>
      <c r="F25">
        <v>2</v>
      </c>
      <c r="G25" s="7">
        <v>192.96</v>
      </c>
      <c r="H25">
        <v>6</v>
      </c>
      <c r="I25" t="s">
        <v>27</v>
      </c>
      <c r="J25" t="s">
        <v>28</v>
      </c>
      <c r="K25" s="6"/>
      <c r="L25" s="7">
        <v>0</v>
      </c>
    </row>
    <row r="26" spans="1:12" x14ac:dyDescent="0.3">
      <c r="A26" t="s">
        <v>62</v>
      </c>
      <c r="B26" s="6">
        <v>46067</v>
      </c>
      <c r="C26" t="s">
        <v>43</v>
      </c>
      <c r="D26" t="s">
        <v>25</v>
      </c>
      <c r="E26" t="s">
        <v>26</v>
      </c>
      <c r="F26">
        <v>6</v>
      </c>
      <c r="G26" s="7">
        <v>66.61</v>
      </c>
      <c r="H26">
        <v>1</v>
      </c>
      <c r="I26" t="s">
        <v>35</v>
      </c>
      <c r="J26" t="s">
        <v>28</v>
      </c>
      <c r="K26" s="6"/>
      <c r="L26" s="7">
        <v>0</v>
      </c>
    </row>
    <row r="27" spans="1:12" x14ac:dyDescent="0.3">
      <c r="A27" t="s">
        <v>63</v>
      </c>
      <c r="B27" s="6">
        <v>45356</v>
      </c>
      <c r="C27" t="s">
        <v>24</v>
      </c>
      <c r="D27" t="s">
        <v>25</v>
      </c>
      <c r="E27" t="s">
        <v>26</v>
      </c>
      <c r="F27">
        <v>29</v>
      </c>
      <c r="G27" s="7">
        <v>50.66</v>
      </c>
      <c r="H27">
        <v>4</v>
      </c>
      <c r="I27" t="s">
        <v>35</v>
      </c>
      <c r="J27" t="s">
        <v>28</v>
      </c>
      <c r="K27" s="6"/>
      <c r="L27" s="7">
        <v>0</v>
      </c>
    </row>
    <row r="28" spans="1:12" x14ac:dyDescent="0.3">
      <c r="A28" t="s">
        <v>64</v>
      </c>
      <c r="B28" s="6">
        <v>46185</v>
      </c>
      <c r="C28" t="s">
        <v>30</v>
      </c>
      <c r="D28" t="s">
        <v>45</v>
      </c>
      <c r="E28" t="s">
        <v>41</v>
      </c>
      <c r="F28">
        <v>2</v>
      </c>
      <c r="G28" s="7">
        <v>146.69999999999999</v>
      </c>
      <c r="H28">
        <v>4</v>
      </c>
      <c r="I28" t="s">
        <v>38</v>
      </c>
      <c r="J28" t="s">
        <v>52</v>
      </c>
      <c r="K28" s="6">
        <v>46219</v>
      </c>
      <c r="L28" s="7">
        <v>146.69999999999999</v>
      </c>
    </row>
    <row r="29" spans="1:12" x14ac:dyDescent="0.3">
      <c r="A29" t="s">
        <v>65</v>
      </c>
      <c r="B29" s="6">
        <v>45383</v>
      </c>
      <c r="C29" t="s">
        <v>43</v>
      </c>
      <c r="D29" t="s">
        <v>25</v>
      </c>
      <c r="E29" t="s">
        <v>41</v>
      </c>
      <c r="F29">
        <v>28</v>
      </c>
      <c r="G29" s="7">
        <v>43.58</v>
      </c>
      <c r="H29">
        <v>0</v>
      </c>
      <c r="I29" t="s">
        <v>38</v>
      </c>
      <c r="J29" t="s">
        <v>28</v>
      </c>
      <c r="K29" s="6"/>
      <c r="L29" s="7">
        <v>0</v>
      </c>
    </row>
    <row r="30" spans="1:12" x14ac:dyDescent="0.3">
      <c r="A30" t="s">
        <v>66</v>
      </c>
      <c r="B30" s="6">
        <v>46208</v>
      </c>
      <c r="C30" t="s">
        <v>24</v>
      </c>
      <c r="D30" t="s">
        <v>45</v>
      </c>
      <c r="E30" t="s">
        <v>41</v>
      </c>
      <c r="F30">
        <v>1</v>
      </c>
      <c r="G30" s="7">
        <v>201.73</v>
      </c>
      <c r="H30">
        <v>0</v>
      </c>
      <c r="I30" t="s">
        <v>35</v>
      </c>
      <c r="J30" t="s">
        <v>28</v>
      </c>
      <c r="K30" s="6"/>
      <c r="L30" s="7">
        <v>0</v>
      </c>
    </row>
    <row r="31" spans="1:12" x14ac:dyDescent="0.3">
      <c r="A31" t="s">
        <v>67</v>
      </c>
      <c r="B31" s="6">
        <v>45540</v>
      </c>
      <c r="C31" t="s">
        <v>24</v>
      </c>
      <c r="D31" t="s">
        <v>37</v>
      </c>
      <c r="E31" t="s">
        <v>26</v>
      </c>
      <c r="F31">
        <v>23</v>
      </c>
      <c r="G31" s="7">
        <v>110.34</v>
      </c>
      <c r="H31">
        <v>1</v>
      </c>
      <c r="I31" t="s">
        <v>27</v>
      </c>
      <c r="J31" t="s">
        <v>28</v>
      </c>
      <c r="K31" s="6"/>
      <c r="L31" s="7">
        <v>0</v>
      </c>
    </row>
    <row r="32" spans="1:12" x14ac:dyDescent="0.3">
      <c r="A32" t="s">
        <v>68</v>
      </c>
      <c r="B32" s="6">
        <v>45367</v>
      </c>
      <c r="C32" t="s">
        <v>24</v>
      </c>
      <c r="D32" t="s">
        <v>45</v>
      </c>
      <c r="E32" t="s">
        <v>41</v>
      </c>
      <c r="F32">
        <v>29</v>
      </c>
      <c r="G32" s="7">
        <v>229.97</v>
      </c>
      <c r="H32">
        <v>1</v>
      </c>
      <c r="I32" t="s">
        <v>35</v>
      </c>
      <c r="J32" t="s">
        <v>28</v>
      </c>
      <c r="K32" s="6"/>
      <c r="L32" s="7">
        <v>0</v>
      </c>
    </row>
    <row r="33" spans="1:12" x14ac:dyDescent="0.3">
      <c r="A33" t="s">
        <v>69</v>
      </c>
      <c r="B33" s="6">
        <v>45023</v>
      </c>
      <c r="C33" t="s">
        <v>43</v>
      </c>
      <c r="D33" t="s">
        <v>25</v>
      </c>
      <c r="E33" t="s">
        <v>26</v>
      </c>
      <c r="F33">
        <v>40</v>
      </c>
      <c r="G33" s="7">
        <v>51.99</v>
      </c>
      <c r="H33">
        <v>3</v>
      </c>
      <c r="I33" t="s">
        <v>27</v>
      </c>
      <c r="J33" t="s">
        <v>28</v>
      </c>
      <c r="K33" s="6"/>
      <c r="L33" s="7">
        <v>0</v>
      </c>
    </row>
    <row r="34" spans="1:12" x14ac:dyDescent="0.3">
      <c r="A34" t="s">
        <v>70</v>
      </c>
      <c r="B34" s="6">
        <v>46101</v>
      </c>
      <c r="C34" t="s">
        <v>30</v>
      </c>
      <c r="D34" t="s">
        <v>45</v>
      </c>
      <c r="E34" t="s">
        <v>41</v>
      </c>
      <c r="F34">
        <v>5</v>
      </c>
      <c r="G34" s="7">
        <v>208.03</v>
      </c>
      <c r="H34">
        <v>4</v>
      </c>
      <c r="I34" t="s">
        <v>38</v>
      </c>
      <c r="J34" t="s">
        <v>52</v>
      </c>
      <c r="K34" s="6">
        <v>46197</v>
      </c>
      <c r="L34" s="7">
        <v>208.03</v>
      </c>
    </row>
    <row r="35" spans="1:12" x14ac:dyDescent="0.3">
      <c r="A35" t="s">
        <v>71</v>
      </c>
      <c r="B35" s="6">
        <v>45509</v>
      </c>
      <c r="C35" t="s">
        <v>32</v>
      </c>
      <c r="D35" t="s">
        <v>25</v>
      </c>
      <c r="E35" t="s">
        <v>41</v>
      </c>
      <c r="F35">
        <v>24</v>
      </c>
      <c r="G35" s="7">
        <v>45.95</v>
      </c>
      <c r="H35">
        <v>1</v>
      </c>
      <c r="I35" t="s">
        <v>38</v>
      </c>
      <c r="J35" t="s">
        <v>28</v>
      </c>
      <c r="K35" s="6"/>
      <c r="L35" s="7">
        <v>0</v>
      </c>
    </row>
    <row r="36" spans="1:12" x14ac:dyDescent="0.3">
      <c r="A36" t="s">
        <v>72</v>
      </c>
      <c r="B36" s="6">
        <v>45038</v>
      </c>
      <c r="C36" t="s">
        <v>43</v>
      </c>
      <c r="D36" t="s">
        <v>25</v>
      </c>
      <c r="E36" t="s">
        <v>33</v>
      </c>
      <c r="F36">
        <v>40</v>
      </c>
      <c r="G36" s="7">
        <v>40.869999999999997</v>
      </c>
      <c r="H36">
        <v>2</v>
      </c>
      <c r="I36" t="s">
        <v>27</v>
      </c>
      <c r="J36" t="s">
        <v>28</v>
      </c>
      <c r="K36" s="6"/>
      <c r="L36" s="7">
        <v>0</v>
      </c>
    </row>
    <row r="37" spans="1:12" x14ac:dyDescent="0.3">
      <c r="A37" t="s">
        <v>73</v>
      </c>
      <c r="B37" s="6">
        <v>46077</v>
      </c>
      <c r="C37" t="s">
        <v>24</v>
      </c>
      <c r="D37" t="s">
        <v>37</v>
      </c>
      <c r="E37" t="s">
        <v>33</v>
      </c>
      <c r="F37">
        <v>6</v>
      </c>
      <c r="G37" s="7">
        <v>82.26</v>
      </c>
      <c r="H37">
        <v>0</v>
      </c>
      <c r="I37" t="s">
        <v>27</v>
      </c>
      <c r="J37" t="s">
        <v>28</v>
      </c>
      <c r="K37" s="6"/>
      <c r="L37" s="7">
        <v>0</v>
      </c>
    </row>
    <row r="38" spans="1:12" x14ac:dyDescent="0.3">
      <c r="A38" t="s">
        <v>74</v>
      </c>
      <c r="B38" s="6">
        <v>45640</v>
      </c>
      <c r="C38" t="s">
        <v>32</v>
      </c>
      <c r="D38" t="s">
        <v>37</v>
      </c>
      <c r="E38" t="s">
        <v>41</v>
      </c>
      <c r="F38">
        <v>20</v>
      </c>
      <c r="G38" s="7">
        <v>94.47</v>
      </c>
      <c r="H38">
        <v>5</v>
      </c>
      <c r="I38" t="s">
        <v>38</v>
      </c>
      <c r="J38" t="s">
        <v>28</v>
      </c>
      <c r="K38" s="6"/>
      <c r="L38" s="7">
        <v>0</v>
      </c>
    </row>
    <row r="39" spans="1:12" x14ac:dyDescent="0.3">
      <c r="A39" t="s">
        <v>75</v>
      </c>
      <c r="B39" s="6">
        <v>46174</v>
      </c>
      <c r="C39" t="s">
        <v>32</v>
      </c>
      <c r="D39" t="s">
        <v>37</v>
      </c>
      <c r="E39" t="s">
        <v>41</v>
      </c>
      <c r="F39">
        <v>2</v>
      </c>
      <c r="G39" s="7">
        <v>90.61</v>
      </c>
      <c r="H39">
        <v>4</v>
      </c>
      <c r="I39" t="s">
        <v>27</v>
      </c>
      <c r="J39" t="s">
        <v>28</v>
      </c>
      <c r="K39" s="6"/>
      <c r="L39" s="7">
        <v>0</v>
      </c>
    </row>
    <row r="40" spans="1:12" x14ac:dyDescent="0.3">
      <c r="A40" t="s">
        <v>76</v>
      </c>
      <c r="B40" s="6">
        <v>45325</v>
      </c>
      <c r="C40" t="s">
        <v>43</v>
      </c>
      <c r="D40" t="s">
        <v>37</v>
      </c>
      <c r="E40" t="s">
        <v>41</v>
      </c>
      <c r="F40">
        <v>30</v>
      </c>
      <c r="G40" s="7">
        <v>121.08</v>
      </c>
      <c r="H40">
        <v>3</v>
      </c>
      <c r="I40" t="s">
        <v>35</v>
      </c>
      <c r="J40" t="s">
        <v>28</v>
      </c>
      <c r="K40" s="6"/>
      <c r="L40" s="7">
        <v>0</v>
      </c>
    </row>
    <row r="41" spans="1:12" x14ac:dyDescent="0.3">
      <c r="A41" t="s">
        <v>77</v>
      </c>
      <c r="B41" s="6">
        <v>45843</v>
      </c>
      <c r="C41" t="s">
        <v>32</v>
      </c>
      <c r="D41" t="s">
        <v>45</v>
      </c>
      <c r="E41" t="s">
        <v>41</v>
      </c>
      <c r="F41">
        <v>13</v>
      </c>
      <c r="G41" s="7">
        <v>179.16</v>
      </c>
      <c r="H41">
        <v>4</v>
      </c>
      <c r="I41" t="s">
        <v>27</v>
      </c>
      <c r="J41" t="s">
        <v>28</v>
      </c>
      <c r="K41" s="6"/>
      <c r="L41" s="7">
        <v>0</v>
      </c>
    </row>
    <row r="42" spans="1:12" x14ac:dyDescent="0.3">
      <c r="A42" t="s">
        <v>78</v>
      </c>
      <c r="B42" s="6">
        <v>46031</v>
      </c>
      <c r="C42" t="s">
        <v>24</v>
      </c>
      <c r="D42" t="s">
        <v>45</v>
      </c>
      <c r="E42" t="s">
        <v>41</v>
      </c>
      <c r="F42">
        <v>7</v>
      </c>
      <c r="G42" s="7">
        <v>176.83</v>
      </c>
      <c r="H42">
        <v>2</v>
      </c>
      <c r="I42" t="s">
        <v>27</v>
      </c>
      <c r="J42" t="s">
        <v>28</v>
      </c>
      <c r="K42" s="6"/>
      <c r="L42" s="7">
        <v>0</v>
      </c>
    </row>
    <row r="43" spans="1:12" x14ac:dyDescent="0.3">
      <c r="A43" t="s">
        <v>79</v>
      </c>
      <c r="B43" s="6">
        <v>46033</v>
      </c>
      <c r="C43" t="s">
        <v>32</v>
      </c>
      <c r="D43" t="s">
        <v>37</v>
      </c>
      <c r="E43" t="s">
        <v>26</v>
      </c>
      <c r="F43">
        <v>7</v>
      </c>
      <c r="G43" s="7">
        <v>74.72</v>
      </c>
      <c r="H43">
        <v>2</v>
      </c>
      <c r="I43" t="s">
        <v>27</v>
      </c>
      <c r="J43" t="s">
        <v>28</v>
      </c>
      <c r="K43" s="6"/>
      <c r="L43" s="7">
        <v>0</v>
      </c>
    </row>
    <row r="44" spans="1:12" x14ac:dyDescent="0.3">
      <c r="A44" t="s">
        <v>80</v>
      </c>
      <c r="B44" s="6">
        <v>45414</v>
      </c>
      <c r="C44" t="s">
        <v>30</v>
      </c>
      <c r="D44" t="s">
        <v>25</v>
      </c>
      <c r="E44" t="s">
        <v>33</v>
      </c>
      <c r="F44">
        <v>27</v>
      </c>
      <c r="G44" s="7">
        <v>55.8</v>
      </c>
      <c r="H44">
        <v>2</v>
      </c>
      <c r="I44" t="s">
        <v>35</v>
      </c>
      <c r="J44" t="s">
        <v>28</v>
      </c>
      <c r="K44" s="6"/>
      <c r="L44" s="7">
        <v>0</v>
      </c>
    </row>
    <row r="45" spans="1:12" x14ac:dyDescent="0.3">
      <c r="A45" t="s">
        <v>81</v>
      </c>
      <c r="B45" s="6">
        <v>45424</v>
      </c>
      <c r="C45" t="s">
        <v>24</v>
      </c>
      <c r="D45" t="s">
        <v>37</v>
      </c>
      <c r="E45" t="s">
        <v>41</v>
      </c>
      <c r="F45">
        <v>27</v>
      </c>
      <c r="G45" s="7">
        <v>73.16</v>
      </c>
      <c r="H45">
        <v>3</v>
      </c>
      <c r="I45" t="s">
        <v>27</v>
      </c>
      <c r="J45" t="s">
        <v>28</v>
      </c>
      <c r="K45" s="6"/>
      <c r="L45" s="7">
        <v>0</v>
      </c>
    </row>
    <row r="46" spans="1:12" x14ac:dyDescent="0.3">
      <c r="A46" t="s">
        <v>82</v>
      </c>
      <c r="B46" s="6">
        <v>46068</v>
      </c>
      <c r="C46" t="s">
        <v>24</v>
      </c>
      <c r="D46" t="s">
        <v>45</v>
      </c>
      <c r="E46" t="s">
        <v>26</v>
      </c>
      <c r="F46">
        <v>6</v>
      </c>
      <c r="G46" s="7">
        <v>198.45</v>
      </c>
      <c r="H46">
        <v>0</v>
      </c>
      <c r="I46" t="s">
        <v>35</v>
      </c>
      <c r="J46" t="s">
        <v>28</v>
      </c>
      <c r="K46" s="6"/>
      <c r="L46" s="7">
        <v>0</v>
      </c>
    </row>
    <row r="47" spans="1:12" x14ac:dyDescent="0.3">
      <c r="A47" t="s">
        <v>83</v>
      </c>
      <c r="B47" s="6">
        <v>45998</v>
      </c>
      <c r="C47" t="s">
        <v>30</v>
      </c>
      <c r="D47" t="s">
        <v>37</v>
      </c>
      <c r="E47" t="s">
        <v>41</v>
      </c>
      <c r="F47">
        <v>8</v>
      </c>
      <c r="G47" s="7">
        <v>127.56</v>
      </c>
      <c r="H47">
        <v>3</v>
      </c>
      <c r="I47" t="s">
        <v>27</v>
      </c>
      <c r="J47" t="s">
        <v>28</v>
      </c>
      <c r="K47" s="6"/>
      <c r="L47" s="7">
        <v>0</v>
      </c>
    </row>
    <row r="48" spans="1:12" x14ac:dyDescent="0.3">
      <c r="A48" t="s">
        <v>84</v>
      </c>
      <c r="B48" s="6">
        <v>46083</v>
      </c>
      <c r="C48" t="s">
        <v>30</v>
      </c>
      <c r="D48" t="s">
        <v>25</v>
      </c>
      <c r="E48" t="s">
        <v>41</v>
      </c>
      <c r="F48">
        <v>5</v>
      </c>
      <c r="G48" s="7">
        <v>59.34</v>
      </c>
      <c r="H48">
        <v>3</v>
      </c>
      <c r="I48" t="s">
        <v>38</v>
      </c>
      <c r="J48" t="s">
        <v>52</v>
      </c>
      <c r="K48" s="6">
        <v>46220</v>
      </c>
      <c r="L48" s="7">
        <v>59.34</v>
      </c>
    </row>
    <row r="49" spans="1:12" x14ac:dyDescent="0.3">
      <c r="A49" t="s">
        <v>85</v>
      </c>
      <c r="B49" s="6">
        <v>45938</v>
      </c>
      <c r="C49" t="s">
        <v>43</v>
      </c>
      <c r="D49" t="s">
        <v>25</v>
      </c>
      <c r="E49" t="s">
        <v>41</v>
      </c>
      <c r="F49">
        <v>10</v>
      </c>
      <c r="G49" s="7">
        <v>40.96</v>
      </c>
      <c r="H49">
        <v>4</v>
      </c>
      <c r="I49" t="s">
        <v>38</v>
      </c>
      <c r="J49" t="s">
        <v>28</v>
      </c>
      <c r="K49" s="6"/>
      <c r="L49" s="7">
        <v>0</v>
      </c>
    </row>
    <row r="50" spans="1:12" x14ac:dyDescent="0.3">
      <c r="A50" t="s">
        <v>86</v>
      </c>
      <c r="B50" s="6">
        <v>45826</v>
      </c>
      <c r="C50" t="s">
        <v>43</v>
      </c>
      <c r="D50" t="s">
        <v>25</v>
      </c>
      <c r="E50" t="s">
        <v>41</v>
      </c>
      <c r="F50">
        <v>14</v>
      </c>
      <c r="G50" s="7">
        <v>63.8</v>
      </c>
      <c r="H50">
        <v>3</v>
      </c>
      <c r="I50" t="s">
        <v>27</v>
      </c>
      <c r="J50" t="s">
        <v>28</v>
      </c>
      <c r="K50" s="6"/>
      <c r="L50" s="7">
        <v>0</v>
      </c>
    </row>
    <row r="51" spans="1:12" x14ac:dyDescent="0.3">
      <c r="A51" t="s">
        <v>87</v>
      </c>
      <c r="B51" s="6">
        <v>46098</v>
      </c>
      <c r="C51" t="s">
        <v>30</v>
      </c>
      <c r="D51" t="s">
        <v>25</v>
      </c>
      <c r="E51" t="s">
        <v>41</v>
      </c>
      <c r="F51">
        <v>5</v>
      </c>
      <c r="G51" s="7">
        <v>36.159999999999997</v>
      </c>
      <c r="H51">
        <v>4</v>
      </c>
      <c r="I51" t="s">
        <v>27</v>
      </c>
      <c r="J51" t="s">
        <v>52</v>
      </c>
      <c r="K51" s="6">
        <v>46139</v>
      </c>
      <c r="L51" s="7">
        <v>36.159999999999997</v>
      </c>
    </row>
    <row r="52" spans="1:12" x14ac:dyDescent="0.3">
      <c r="A52" t="s">
        <v>88</v>
      </c>
      <c r="B52" s="6">
        <v>46144</v>
      </c>
      <c r="C52" t="s">
        <v>32</v>
      </c>
      <c r="D52" t="s">
        <v>25</v>
      </c>
      <c r="E52" t="s">
        <v>41</v>
      </c>
      <c r="F52">
        <v>3</v>
      </c>
      <c r="G52" s="7">
        <v>55.83</v>
      </c>
      <c r="H52">
        <v>7</v>
      </c>
      <c r="I52" t="s">
        <v>27</v>
      </c>
      <c r="J52" t="s">
        <v>28</v>
      </c>
      <c r="K52" s="6"/>
      <c r="L52" s="7">
        <v>0</v>
      </c>
    </row>
    <row r="53" spans="1:12" x14ac:dyDescent="0.3">
      <c r="A53" t="s">
        <v>89</v>
      </c>
      <c r="B53" s="6">
        <v>46214</v>
      </c>
      <c r="C53" t="s">
        <v>32</v>
      </c>
      <c r="D53" t="s">
        <v>25</v>
      </c>
      <c r="E53" t="s">
        <v>41</v>
      </c>
      <c r="F53">
        <v>1</v>
      </c>
      <c r="G53" s="7">
        <v>55.49</v>
      </c>
      <c r="H53">
        <v>6</v>
      </c>
      <c r="I53" t="s">
        <v>35</v>
      </c>
      <c r="J53" t="s">
        <v>52</v>
      </c>
      <c r="K53" s="6">
        <v>46245</v>
      </c>
      <c r="L53" s="7">
        <v>55.49</v>
      </c>
    </row>
    <row r="54" spans="1:12" x14ac:dyDescent="0.3">
      <c r="A54" t="s">
        <v>90</v>
      </c>
      <c r="B54" s="6">
        <v>45560</v>
      </c>
      <c r="C54" t="s">
        <v>24</v>
      </c>
      <c r="D54" t="s">
        <v>45</v>
      </c>
      <c r="E54" t="s">
        <v>26</v>
      </c>
      <c r="F54">
        <v>23</v>
      </c>
      <c r="G54" s="7">
        <v>256.5</v>
      </c>
      <c r="H54">
        <v>2</v>
      </c>
      <c r="I54" t="s">
        <v>27</v>
      </c>
      <c r="J54" t="s">
        <v>28</v>
      </c>
      <c r="K54" s="6"/>
      <c r="L54" s="7">
        <v>0</v>
      </c>
    </row>
    <row r="55" spans="1:12" x14ac:dyDescent="0.3">
      <c r="A55" t="s">
        <v>91</v>
      </c>
      <c r="B55" s="6">
        <v>45006</v>
      </c>
      <c r="C55" t="s">
        <v>43</v>
      </c>
      <c r="D55" t="s">
        <v>25</v>
      </c>
      <c r="E55" t="s">
        <v>41</v>
      </c>
      <c r="F55">
        <v>41</v>
      </c>
      <c r="G55" s="7">
        <v>50.22</v>
      </c>
      <c r="H55">
        <v>0</v>
      </c>
      <c r="I55" t="s">
        <v>35</v>
      </c>
      <c r="J55" t="s">
        <v>52</v>
      </c>
      <c r="K55" s="6">
        <v>45074</v>
      </c>
      <c r="L55" s="7">
        <v>50.22</v>
      </c>
    </row>
    <row r="56" spans="1:12" x14ac:dyDescent="0.3">
      <c r="A56" t="s">
        <v>92</v>
      </c>
      <c r="B56" s="6">
        <v>45513</v>
      </c>
      <c r="C56" t="s">
        <v>24</v>
      </c>
      <c r="D56" t="s">
        <v>37</v>
      </c>
      <c r="E56" t="s">
        <v>26</v>
      </c>
      <c r="F56">
        <v>24</v>
      </c>
      <c r="G56" s="7">
        <v>119.14</v>
      </c>
      <c r="H56">
        <v>1</v>
      </c>
      <c r="I56" t="s">
        <v>27</v>
      </c>
      <c r="J56" t="s">
        <v>28</v>
      </c>
      <c r="K56" s="6"/>
      <c r="L56" s="7">
        <v>0</v>
      </c>
    </row>
    <row r="57" spans="1:12" x14ac:dyDescent="0.3">
      <c r="A57" t="s">
        <v>93</v>
      </c>
      <c r="B57" s="6">
        <v>46107</v>
      </c>
      <c r="C57" t="s">
        <v>24</v>
      </c>
      <c r="D57" t="s">
        <v>37</v>
      </c>
      <c r="E57" t="s">
        <v>41</v>
      </c>
      <c r="F57">
        <v>5</v>
      </c>
      <c r="G57" s="7">
        <v>119.66</v>
      </c>
      <c r="H57">
        <v>3</v>
      </c>
      <c r="I57" t="s">
        <v>38</v>
      </c>
      <c r="J57" t="s">
        <v>52</v>
      </c>
      <c r="K57" s="6">
        <v>46220</v>
      </c>
      <c r="L57" s="7">
        <v>119.66</v>
      </c>
    </row>
    <row r="58" spans="1:12" x14ac:dyDescent="0.3">
      <c r="A58" t="s">
        <v>94</v>
      </c>
      <c r="B58" s="6">
        <v>46216</v>
      </c>
      <c r="C58" t="s">
        <v>24</v>
      </c>
      <c r="D58" t="s">
        <v>37</v>
      </c>
      <c r="E58" t="s">
        <v>33</v>
      </c>
      <c r="F58">
        <v>1</v>
      </c>
      <c r="G58" s="7">
        <v>90.1</v>
      </c>
      <c r="H58">
        <v>6</v>
      </c>
      <c r="I58" t="s">
        <v>38</v>
      </c>
      <c r="J58" t="s">
        <v>52</v>
      </c>
      <c r="K58" s="6">
        <v>46246</v>
      </c>
      <c r="L58" s="7">
        <v>90.1</v>
      </c>
    </row>
    <row r="59" spans="1:12" x14ac:dyDescent="0.3">
      <c r="A59" t="s">
        <v>95</v>
      </c>
      <c r="B59" s="6">
        <v>45985</v>
      </c>
      <c r="C59" t="s">
        <v>43</v>
      </c>
      <c r="D59" t="s">
        <v>45</v>
      </c>
      <c r="E59" t="s">
        <v>26</v>
      </c>
      <c r="F59">
        <v>9</v>
      </c>
      <c r="G59" s="7">
        <v>145.57</v>
      </c>
      <c r="H59">
        <v>4</v>
      </c>
      <c r="I59" t="s">
        <v>35</v>
      </c>
      <c r="J59" t="s">
        <v>52</v>
      </c>
      <c r="K59" s="6">
        <v>46083</v>
      </c>
      <c r="L59" s="7">
        <v>145.57</v>
      </c>
    </row>
    <row r="60" spans="1:12" x14ac:dyDescent="0.3">
      <c r="A60" t="s">
        <v>96</v>
      </c>
      <c r="B60" s="6">
        <v>45267</v>
      </c>
      <c r="C60" t="s">
        <v>32</v>
      </c>
      <c r="D60" t="s">
        <v>37</v>
      </c>
      <c r="E60" t="s">
        <v>26</v>
      </c>
      <c r="F60">
        <v>32</v>
      </c>
      <c r="G60" s="7">
        <v>89.99</v>
      </c>
      <c r="H60">
        <v>0</v>
      </c>
      <c r="I60" t="s">
        <v>35</v>
      </c>
      <c r="J60" t="s">
        <v>28</v>
      </c>
      <c r="K60" s="6"/>
      <c r="L60" s="7">
        <v>0</v>
      </c>
    </row>
    <row r="61" spans="1:12" x14ac:dyDescent="0.3">
      <c r="A61" t="s">
        <v>97</v>
      </c>
      <c r="B61" s="6">
        <v>45415</v>
      </c>
      <c r="C61" t="s">
        <v>32</v>
      </c>
      <c r="D61" t="s">
        <v>25</v>
      </c>
      <c r="E61" t="s">
        <v>41</v>
      </c>
      <c r="F61">
        <v>27</v>
      </c>
      <c r="G61" s="7">
        <v>38.409999999999997</v>
      </c>
      <c r="H61">
        <v>4</v>
      </c>
      <c r="I61" t="s">
        <v>38</v>
      </c>
      <c r="J61" t="s">
        <v>28</v>
      </c>
      <c r="K61" s="6"/>
      <c r="L61" s="7">
        <v>0</v>
      </c>
    </row>
    <row r="62" spans="1:12" x14ac:dyDescent="0.3">
      <c r="A62" t="s">
        <v>98</v>
      </c>
      <c r="B62" s="6">
        <v>45845</v>
      </c>
      <c r="C62" t="s">
        <v>30</v>
      </c>
      <c r="D62" t="s">
        <v>25</v>
      </c>
      <c r="E62" t="s">
        <v>26</v>
      </c>
      <c r="F62">
        <v>13</v>
      </c>
      <c r="G62" s="7">
        <v>40.46</v>
      </c>
      <c r="H62">
        <v>0</v>
      </c>
      <c r="I62" t="s">
        <v>35</v>
      </c>
      <c r="J62" t="s">
        <v>28</v>
      </c>
      <c r="K62" s="6"/>
      <c r="L62" s="7">
        <v>0</v>
      </c>
    </row>
    <row r="63" spans="1:12" x14ac:dyDescent="0.3">
      <c r="A63" t="s">
        <v>99</v>
      </c>
      <c r="B63" s="6">
        <v>45711</v>
      </c>
      <c r="C63" t="s">
        <v>43</v>
      </c>
      <c r="D63" t="s">
        <v>25</v>
      </c>
      <c r="E63" t="s">
        <v>41</v>
      </c>
      <c r="F63">
        <v>18</v>
      </c>
      <c r="G63" s="7">
        <v>63.6</v>
      </c>
      <c r="H63">
        <v>2</v>
      </c>
      <c r="I63" t="s">
        <v>27</v>
      </c>
      <c r="J63" t="s">
        <v>28</v>
      </c>
      <c r="K63" s="6"/>
      <c r="L63" s="7">
        <v>0</v>
      </c>
    </row>
    <row r="64" spans="1:12" x14ac:dyDescent="0.3">
      <c r="A64" t="s">
        <v>100</v>
      </c>
      <c r="B64" s="6">
        <v>45160</v>
      </c>
      <c r="C64" t="s">
        <v>32</v>
      </c>
      <c r="D64" t="s">
        <v>37</v>
      </c>
      <c r="E64" t="s">
        <v>41</v>
      </c>
      <c r="F64">
        <v>36</v>
      </c>
      <c r="G64" s="7">
        <v>80.86</v>
      </c>
      <c r="H64">
        <v>2</v>
      </c>
      <c r="I64" t="s">
        <v>27</v>
      </c>
      <c r="J64" t="s">
        <v>28</v>
      </c>
      <c r="K64" s="6"/>
      <c r="L64" s="7">
        <v>0</v>
      </c>
    </row>
    <row r="65" spans="1:12" x14ac:dyDescent="0.3">
      <c r="A65" t="s">
        <v>101</v>
      </c>
      <c r="B65" s="6">
        <v>45821</v>
      </c>
      <c r="C65" t="s">
        <v>24</v>
      </c>
      <c r="D65" t="s">
        <v>25</v>
      </c>
      <c r="E65" t="s">
        <v>26</v>
      </c>
      <c r="F65">
        <v>14</v>
      </c>
      <c r="G65" s="7">
        <v>64.400000000000006</v>
      </c>
      <c r="H65">
        <v>4</v>
      </c>
      <c r="I65" t="s">
        <v>38</v>
      </c>
      <c r="J65" t="s">
        <v>28</v>
      </c>
      <c r="K65" s="6"/>
      <c r="L65" s="7">
        <v>0</v>
      </c>
    </row>
    <row r="66" spans="1:12" x14ac:dyDescent="0.3">
      <c r="A66" t="s">
        <v>102</v>
      </c>
      <c r="B66" s="6">
        <v>45120</v>
      </c>
      <c r="C66" t="s">
        <v>24</v>
      </c>
      <c r="D66" t="s">
        <v>37</v>
      </c>
      <c r="E66" t="s">
        <v>33</v>
      </c>
      <c r="F66">
        <v>37</v>
      </c>
      <c r="G66" s="7">
        <v>119.61</v>
      </c>
      <c r="H66">
        <v>4</v>
      </c>
      <c r="I66" t="s">
        <v>35</v>
      </c>
      <c r="J66" t="s">
        <v>52</v>
      </c>
      <c r="K66" s="6">
        <v>45734</v>
      </c>
      <c r="L66" s="7">
        <v>119.61</v>
      </c>
    </row>
    <row r="67" spans="1:12" x14ac:dyDescent="0.3">
      <c r="A67" t="s">
        <v>103</v>
      </c>
      <c r="B67" s="6">
        <v>45391</v>
      </c>
      <c r="C67" t="s">
        <v>32</v>
      </c>
      <c r="D67" t="s">
        <v>45</v>
      </c>
      <c r="E67" t="s">
        <v>41</v>
      </c>
      <c r="F67">
        <v>28</v>
      </c>
      <c r="G67" s="7">
        <v>241.42</v>
      </c>
      <c r="H67">
        <v>2</v>
      </c>
      <c r="I67" t="s">
        <v>38</v>
      </c>
      <c r="J67" t="s">
        <v>28</v>
      </c>
      <c r="K67" s="6"/>
      <c r="L67" s="7">
        <v>0</v>
      </c>
    </row>
    <row r="68" spans="1:12" x14ac:dyDescent="0.3">
      <c r="A68" t="s">
        <v>104</v>
      </c>
      <c r="B68" s="6">
        <v>45243</v>
      </c>
      <c r="C68" t="s">
        <v>30</v>
      </c>
      <c r="D68" t="s">
        <v>45</v>
      </c>
      <c r="E68" t="s">
        <v>41</v>
      </c>
      <c r="F68">
        <v>33</v>
      </c>
      <c r="G68" s="7">
        <v>261.62</v>
      </c>
      <c r="H68">
        <v>1</v>
      </c>
      <c r="I68" t="s">
        <v>38</v>
      </c>
      <c r="J68" t="s">
        <v>52</v>
      </c>
      <c r="K68" s="6">
        <v>46163</v>
      </c>
      <c r="L68" s="7">
        <v>261.62</v>
      </c>
    </row>
    <row r="69" spans="1:12" x14ac:dyDescent="0.3">
      <c r="A69" t="s">
        <v>105</v>
      </c>
      <c r="B69" s="6">
        <v>46040</v>
      </c>
      <c r="C69" t="s">
        <v>30</v>
      </c>
      <c r="D69" t="s">
        <v>25</v>
      </c>
      <c r="E69" t="s">
        <v>41</v>
      </c>
      <c r="F69">
        <v>7</v>
      </c>
      <c r="G69" s="7">
        <v>46.83</v>
      </c>
      <c r="H69">
        <v>4</v>
      </c>
      <c r="I69" t="s">
        <v>35</v>
      </c>
      <c r="J69" t="s">
        <v>28</v>
      </c>
      <c r="K69" s="6"/>
      <c r="L69" s="7">
        <v>0</v>
      </c>
    </row>
    <row r="70" spans="1:12" x14ac:dyDescent="0.3">
      <c r="A70" t="s">
        <v>106</v>
      </c>
      <c r="B70" s="6">
        <v>45859</v>
      </c>
      <c r="C70" t="s">
        <v>30</v>
      </c>
      <c r="D70" t="s">
        <v>37</v>
      </c>
      <c r="E70" t="s">
        <v>41</v>
      </c>
      <c r="F70">
        <v>13</v>
      </c>
      <c r="G70" s="7">
        <v>114.14</v>
      </c>
      <c r="H70">
        <v>5</v>
      </c>
      <c r="I70" t="s">
        <v>38</v>
      </c>
      <c r="J70" t="s">
        <v>52</v>
      </c>
      <c r="K70" s="6">
        <v>46145</v>
      </c>
      <c r="L70" s="7">
        <v>114.14</v>
      </c>
    </row>
    <row r="71" spans="1:12" x14ac:dyDescent="0.3">
      <c r="A71" t="s">
        <v>107</v>
      </c>
      <c r="B71" s="6">
        <v>45515</v>
      </c>
      <c r="C71" t="s">
        <v>32</v>
      </c>
      <c r="D71" t="s">
        <v>37</v>
      </c>
      <c r="E71" t="s">
        <v>41</v>
      </c>
      <c r="F71">
        <v>24</v>
      </c>
      <c r="G71" s="7">
        <v>84.12</v>
      </c>
      <c r="H71">
        <v>5</v>
      </c>
      <c r="I71" t="s">
        <v>35</v>
      </c>
      <c r="J71" t="s">
        <v>52</v>
      </c>
      <c r="K71" s="6">
        <v>45895</v>
      </c>
      <c r="L71" s="7">
        <v>84.12</v>
      </c>
    </row>
    <row r="72" spans="1:12" x14ac:dyDescent="0.3">
      <c r="A72" t="s">
        <v>108</v>
      </c>
      <c r="B72" s="6">
        <v>45085</v>
      </c>
      <c r="C72" t="s">
        <v>43</v>
      </c>
      <c r="D72" t="s">
        <v>37</v>
      </c>
      <c r="E72" t="s">
        <v>26</v>
      </c>
      <c r="F72">
        <v>38</v>
      </c>
      <c r="G72" s="7">
        <v>84.73</v>
      </c>
      <c r="H72">
        <v>7</v>
      </c>
      <c r="I72" t="s">
        <v>35</v>
      </c>
      <c r="J72" t="s">
        <v>28</v>
      </c>
      <c r="K72" s="6"/>
      <c r="L72" s="7">
        <v>0</v>
      </c>
    </row>
    <row r="73" spans="1:12" x14ac:dyDescent="0.3">
      <c r="A73" t="s">
        <v>109</v>
      </c>
      <c r="B73" s="6">
        <v>45482</v>
      </c>
      <c r="C73" t="s">
        <v>43</v>
      </c>
      <c r="D73" t="s">
        <v>25</v>
      </c>
      <c r="E73" t="s">
        <v>41</v>
      </c>
      <c r="F73">
        <v>25</v>
      </c>
      <c r="G73" s="7">
        <v>54.09</v>
      </c>
      <c r="H73">
        <v>4</v>
      </c>
      <c r="I73" t="s">
        <v>35</v>
      </c>
      <c r="J73" t="s">
        <v>28</v>
      </c>
      <c r="K73" s="6"/>
      <c r="L73" s="7">
        <v>0</v>
      </c>
    </row>
    <row r="74" spans="1:12" x14ac:dyDescent="0.3">
      <c r="A74" t="s">
        <v>110</v>
      </c>
      <c r="B74" s="6">
        <v>45331</v>
      </c>
      <c r="C74" t="s">
        <v>30</v>
      </c>
      <c r="D74" t="s">
        <v>37</v>
      </c>
      <c r="E74" t="s">
        <v>41</v>
      </c>
      <c r="F74">
        <v>30</v>
      </c>
      <c r="G74" s="7">
        <v>100.09</v>
      </c>
      <c r="H74">
        <v>7</v>
      </c>
      <c r="I74" t="s">
        <v>27</v>
      </c>
      <c r="J74" t="s">
        <v>28</v>
      </c>
      <c r="K74" s="6"/>
      <c r="L74" s="7">
        <v>0</v>
      </c>
    </row>
    <row r="75" spans="1:12" x14ac:dyDescent="0.3">
      <c r="A75" t="s">
        <v>111</v>
      </c>
      <c r="B75" s="6">
        <v>45305</v>
      </c>
      <c r="C75" t="s">
        <v>32</v>
      </c>
      <c r="D75" t="s">
        <v>45</v>
      </c>
      <c r="E75" t="s">
        <v>41</v>
      </c>
      <c r="F75">
        <v>31</v>
      </c>
      <c r="G75" s="7">
        <v>153.22</v>
      </c>
      <c r="H75">
        <v>2</v>
      </c>
      <c r="I75" t="s">
        <v>35</v>
      </c>
      <c r="J75" t="s">
        <v>28</v>
      </c>
      <c r="K75" s="6"/>
      <c r="L75" s="7">
        <v>0</v>
      </c>
    </row>
    <row r="76" spans="1:12" x14ac:dyDescent="0.3">
      <c r="A76" t="s">
        <v>112</v>
      </c>
      <c r="B76" s="6">
        <v>46120</v>
      </c>
      <c r="C76" t="s">
        <v>24</v>
      </c>
      <c r="D76" t="s">
        <v>25</v>
      </c>
      <c r="E76" t="s">
        <v>41</v>
      </c>
      <c r="F76">
        <v>4</v>
      </c>
      <c r="G76" s="7">
        <v>52.45</v>
      </c>
      <c r="H76">
        <v>1</v>
      </c>
      <c r="I76" t="s">
        <v>35</v>
      </c>
      <c r="J76" t="s">
        <v>28</v>
      </c>
      <c r="K76" s="6"/>
      <c r="L76" s="7">
        <v>0</v>
      </c>
    </row>
    <row r="77" spans="1:12" x14ac:dyDescent="0.3">
      <c r="A77" t="s">
        <v>113</v>
      </c>
      <c r="B77" s="6">
        <v>46040</v>
      </c>
      <c r="C77" t="s">
        <v>24</v>
      </c>
      <c r="D77" t="s">
        <v>25</v>
      </c>
      <c r="E77" t="s">
        <v>26</v>
      </c>
      <c r="F77">
        <v>7</v>
      </c>
      <c r="G77" s="7">
        <v>43.33</v>
      </c>
      <c r="H77">
        <v>0</v>
      </c>
      <c r="I77" t="s">
        <v>35</v>
      </c>
      <c r="J77" t="s">
        <v>28</v>
      </c>
      <c r="K77" s="6"/>
      <c r="L77" s="7">
        <v>0</v>
      </c>
    </row>
    <row r="78" spans="1:12" x14ac:dyDescent="0.3">
      <c r="A78" t="s">
        <v>114</v>
      </c>
      <c r="B78" s="6">
        <v>45737</v>
      </c>
      <c r="C78" t="s">
        <v>43</v>
      </c>
      <c r="D78" t="s">
        <v>45</v>
      </c>
      <c r="E78" t="s">
        <v>26</v>
      </c>
      <c r="F78">
        <v>17</v>
      </c>
      <c r="G78" s="7">
        <v>232.02</v>
      </c>
      <c r="H78">
        <v>4</v>
      </c>
      <c r="I78" t="s">
        <v>35</v>
      </c>
      <c r="J78" t="s">
        <v>28</v>
      </c>
      <c r="K78" s="6"/>
      <c r="L78" s="7">
        <v>0</v>
      </c>
    </row>
    <row r="79" spans="1:12" x14ac:dyDescent="0.3">
      <c r="A79" t="s">
        <v>115</v>
      </c>
      <c r="B79" s="6">
        <v>45482</v>
      </c>
      <c r="C79" t="s">
        <v>30</v>
      </c>
      <c r="D79" t="s">
        <v>45</v>
      </c>
      <c r="E79" t="s">
        <v>41</v>
      </c>
      <c r="F79">
        <v>25</v>
      </c>
      <c r="G79" s="7">
        <v>211.72</v>
      </c>
      <c r="H79">
        <v>3</v>
      </c>
      <c r="I79" t="s">
        <v>38</v>
      </c>
      <c r="J79" t="s">
        <v>28</v>
      </c>
      <c r="K79" s="6"/>
      <c r="L79" s="7">
        <v>0</v>
      </c>
    </row>
    <row r="80" spans="1:12" x14ac:dyDescent="0.3">
      <c r="A80" t="s">
        <v>116</v>
      </c>
      <c r="B80" s="6">
        <v>45969</v>
      </c>
      <c r="C80" t="s">
        <v>32</v>
      </c>
      <c r="D80" t="s">
        <v>45</v>
      </c>
      <c r="E80" t="s">
        <v>41</v>
      </c>
      <c r="F80">
        <v>9</v>
      </c>
      <c r="G80" s="7">
        <v>175.13</v>
      </c>
      <c r="H80">
        <v>6</v>
      </c>
      <c r="I80" t="s">
        <v>27</v>
      </c>
      <c r="J80" t="s">
        <v>28</v>
      </c>
      <c r="K80" s="6"/>
      <c r="L80" s="7">
        <v>0</v>
      </c>
    </row>
    <row r="81" spans="1:12" x14ac:dyDescent="0.3">
      <c r="A81" t="s">
        <v>117</v>
      </c>
      <c r="B81" s="6">
        <v>45526</v>
      </c>
      <c r="C81" t="s">
        <v>32</v>
      </c>
      <c r="D81" t="s">
        <v>25</v>
      </c>
      <c r="E81" t="s">
        <v>41</v>
      </c>
      <c r="F81">
        <v>24</v>
      </c>
      <c r="G81" s="7">
        <v>57.02</v>
      </c>
      <c r="H81">
        <v>2</v>
      </c>
      <c r="I81" t="s">
        <v>27</v>
      </c>
      <c r="J81" t="s">
        <v>28</v>
      </c>
      <c r="K81" s="6"/>
      <c r="L81" s="7">
        <v>0</v>
      </c>
    </row>
    <row r="82" spans="1:12" x14ac:dyDescent="0.3">
      <c r="A82" t="s">
        <v>118</v>
      </c>
      <c r="B82" s="6">
        <v>46045</v>
      </c>
      <c r="C82" t="s">
        <v>43</v>
      </c>
      <c r="D82" t="s">
        <v>45</v>
      </c>
      <c r="E82" t="s">
        <v>41</v>
      </c>
      <c r="F82">
        <v>7</v>
      </c>
      <c r="G82" s="7">
        <v>230</v>
      </c>
      <c r="H82">
        <v>4</v>
      </c>
      <c r="I82" t="s">
        <v>35</v>
      </c>
      <c r="J82" t="s">
        <v>28</v>
      </c>
      <c r="K82" s="6"/>
      <c r="L82" s="7">
        <v>0</v>
      </c>
    </row>
    <row r="83" spans="1:12" x14ac:dyDescent="0.3">
      <c r="A83" t="s">
        <v>119</v>
      </c>
      <c r="B83" s="6">
        <v>45032</v>
      </c>
      <c r="C83" t="s">
        <v>30</v>
      </c>
      <c r="D83" t="s">
        <v>37</v>
      </c>
      <c r="E83" t="s">
        <v>26</v>
      </c>
      <c r="F83">
        <v>40</v>
      </c>
      <c r="G83" s="7">
        <v>84.22</v>
      </c>
      <c r="H83">
        <v>6</v>
      </c>
      <c r="I83" t="s">
        <v>38</v>
      </c>
      <c r="J83" t="s">
        <v>28</v>
      </c>
      <c r="K83" s="6"/>
      <c r="L83" s="7">
        <v>0</v>
      </c>
    </row>
    <row r="84" spans="1:12" x14ac:dyDescent="0.3">
      <c r="A84" t="s">
        <v>120</v>
      </c>
      <c r="B84" s="6">
        <v>45708</v>
      </c>
      <c r="C84" t="s">
        <v>32</v>
      </c>
      <c r="D84" t="s">
        <v>45</v>
      </c>
      <c r="E84" t="s">
        <v>41</v>
      </c>
      <c r="F84">
        <v>18</v>
      </c>
      <c r="G84" s="7">
        <v>172.14</v>
      </c>
      <c r="H84">
        <v>0</v>
      </c>
      <c r="I84" t="s">
        <v>27</v>
      </c>
      <c r="J84" t="s">
        <v>28</v>
      </c>
      <c r="K84" s="6"/>
      <c r="L84" s="7">
        <v>0</v>
      </c>
    </row>
    <row r="85" spans="1:12" x14ac:dyDescent="0.3">
      <c r="A85" t="s">
        <v>121</v>
      </c>
      <c r="B85" s="6">
        <v>46029</v>
      </c>
      <c r="C85" t="s">
        <v>24</v>
      </c>
      <c r="D85" t="s">
        <v>45</v>
      </c>
      <c r="E85" t="s">
        <v>41</v>
      </c>
      <c r="F85">
        <v>7</v>
      </c>
      <c r="G85" s="7">
        <v>150.53</v>
      </c>
      <c r="H85">
        <v>4</v>
      </c>
      <c r="I85" t="s">
        <v>38</v>
      </c>
      <c r="J85" t="s">
        <v>52</v>
      </c>
      <c r="K85" s="6">
        <v>46159</v>
      </c>
      <c r="L85" s="7">
        <v>150.53</v>
      </c>
    </row>
    <row r="86" spans="1:12" x14ac:dyDescent="0.3">
      <c r="A86" t="s">
        <v>122</v>
      </c>
      <c r="B86" s="6">
        <v>45995</v>
      </c>
      <c r="C86" t="s">
        <v>24</v>
      </c>
      <c r="D86" t="s">
        <v>25</v>
      </c>
      <c r="E86" t="s">
        <v>41</v>
      </c>
      <c r="F86">
        <v>8</v>
      </c>
      <c r="G86" s="7">
        <v>41.84</v>
      </c>
      <c r="H86">
        <v>6</v>
      </c>
      <c r="I86" t="s">
        <v>35</v>
      </c>
      <c r="J86" t="s">
        <v>52</v>
      </c>
      <c r="K86" s="6">
        <v>46195</v>
      </c>
      <c r="L86" s="7">
        <v>41.84</v>
      </c>
    </row>
    <row r="87" spans="1:12" x14ac:dyDescent="0.3">
      <c r="A87" t="s">
        <v>123</v>
      </c>
      <c r="B87" s="6">
        <v>46215</v>
      </c>
      <c r="C87" t="s">
        <v>43</v>
      </c>
      <c r="D87" t="s">
        <v>37</v>
      </c>
      <c r="E87" t="s">
        <v>41</v>
      </c>
      <c r="F87">
        <v>1</v>
      </c>
      <c r="G87" s="7">
        <v>72.180000000000007</v>
      </c>
      <c r="H87">
        <v>2</v>
      </c>
      <c r="I87" t="s">
        <v>38</v>
      </c>
      <c r="J87" t="s">
        <v>52</v>
      </c>
      <c r="K87" s="6">
        <v>46246</v>
      </c>
      <c r="L87" s="7">
        <v>72.180000000000007</v>
      </c>
    </row>
    <row r="88" spans="1:12" x14ac:dyDescent="0.3">
      <c r="A88" t="s">
        <v>124</v>
      </c>
      <c r="B88" s="6">
        <v>45194</v>
      </c>
      <c r="C88" t="s">
        <v>30</v>
      </c>
      <c r="D88" t="s">
        <v>37</v>
      </c>
      <c r="E88" t="s">
        <v>41</v>
      </c>
      <c r="F88">
        <v>35</v>
      </c>
      <c r="G88" s="7">
        <v>123.76</v>
      </c>
      <c r="H88">
        <v>4</v>
      </c>
      <c r="I88" t="s">
        <v>27</v>
      </c>
      <c r="J88" t="s">
        <v>52</v>
      </c>
      <c r="K88" s="6">
        <v>45708</v>
      </c>
      <c r="L88" s="7">
        <v>123.76</v>
      </c>
    </row>
    <row r="89" spans="1:12" x14ac:dyDescent="0.3">
      <c r="A89" t="s">
        <v>125</v>
      </c>
      <c r="B89" s="6">
        <v>45915</v>
      </c>
      <c r="C89" t="s">
        <v>30</v>
      </c>
      <c r="D89" t="s">
        <v>37</v>
      </c>
      <c r="E89" t="s">
        <v>41</v>
      </c>
      <c r="F89">
        <v>11</v>
      </c>
      <c r="G89" s="7">
        <v>128.51</v>
      </c>
      <c r="H89">
        <v>1</v>
      </c>
      <c r="I89" t="s">
        <v>27</v>
      </c>
      <c r="J89" t="s">
        <v>52</v>
      </c>
      <c r="K89" s="6">
        <v>46155</v>
      </c>
      <c r="L89" s="7">
        <v>128.51</v>
      </c>
    </row>
    <row r="90" spans="1:12" x14ac:dyDescent="0.3">
      <c r="A90" t="s">
        <v>126</v>
      </c>
      <c r="B90" s="6">
        <v>46035</v>
      </c>
      <c r="C90" t="s">
        <v>24</v>
      </c>
      <c r="D90" t="s">
        <v>37</v>
      </c>
      <c r="E90" t="s">
        <v>41</v>
      </c>
      <c r="F90">
        <v>7</v>
      </c>
      <c r="G90" s="7">
        <v>129.96</v>
      </c>
      <c r="H90">
        <v>3</v>
      </c>
      <c r="I90" t="s">
        <v>38</v>
      </c>
      <c r="J90" t="s">
        <v>28</v>
      </c>
      <c r="K90" s="6"/>
      <c r="L90" s="7">
        <v>0</v>
      </c>
    </row>
    <row r="91" spans="1:12" x14ac:dyDescent="0.3">
      <c r="A91" t="s">
        <v>127</v>
      </c>
      <c r="B91" s="6">
        <v>45788</v>
      </c>
      <c r="C91" t="s">
        <v>24</v>
      </c>
      <c r="D91" t="s">
        <v>37</v>
      </c>
      <c r="E91" t="s">
        <v>26</v>
      </c>
      <c r="F91">
        <v>15</v>
      </c>
      <c r="G91" s="7">
        <v>115.44</v>
      </c>
      <c r="H91">
        <v>6</v>
      </c>
      <c r="I91" t="s">
        <v>38</v>
      </c>
      <c r="J91" t="s">
        <v>28</v>
      </c>
      <c r="K91" s="6"/>
      <c r="L91" s="7">
        <v>0</v>
      </c>
    </row>
    <row r="92" spans="1:12" x14ac:dyDescent="0.3">
      <c r="A92" t="s">
        <v>128</v>
      </c>
      <c r="B92" s="6">
        <v>45285</v>
      </c>
      <c r="C92" t="s">
        <v>24</v>
      </c>
      <c r="D92" t="s">
        <v>25</v>
      </c>
      <c r="E92" t="s">
        <v>26</v>
      </c>
      <c r="F92">
        <v>32</v>
      </c>
      <c r="G92" s="7">
        <v>39.380000000000003</v>
      </c>
      <c r="H92">
        <v>3</v>
      </c>
      <c r="I92" t="s">
        <v>38</v>
      </c>
      <c r="J92" t="s">
        <v>28</v>
      </c>
      <c r="K92" s="6"/>
      <c r="L92" s="7">
        <v>0</v>
      </c>
    </row>
    <row r="93" spans="1:12" x14ac:dyDescent="0.3">
      <c r="A93" t="s">
        <v>129</v>
      </c>
      <c r="B93" s="6">
        <v>46219</v>
      </c>
      <c r="C93" t="s">
        <v>30</v>
      </c>
      <c r="D93" t="s">
        <v>37</v>
      </c>
      <c r="E93" t="s">
        <v>41</v>
      </c>
      <c r="F93">
        <v>1</v>
      </c>
      <c r="G93" s="7">
        <v>122.56</v>
      </c>
      <c r="H93">
        <v>1</v>
      </c>
      <c r="I93" t="s">
        <v>35</v>
      </c>
      <c r="J93" t="s">
        <v>28</v>
      </c>
      <c r="K93" s="6"/>
      <c r="L93" s="7">
        <v>0</v>
      </c>
    </row>
    <row r="94" spans="1:12" x14ac:dyDescent="0.3">
      <c r="A94" t="s">
        <v>130</v>
      </c>
      <c r="B94" s="6">
        <v>45573</v>
      </c>
      <c r="C94" t="s">
        <v>43</v>
      </c>
      <c r="D94" t="s">
        <v>37</v>
      </c>
      <c r="E94" t="s">
        <v>41</v>
      </c>
      <c r="F94">
        <v>22</v>
      </c>
      <c r="G94" s="7">
        <v>121.38</v>
      </c>
      <c r="H94">
        <v>1</v>
      </c>
      <c r="I94" t="s">
        <v>27</v>
      </c>
      <c r="J94" t="s">
        <v>28</v>
      </c>
      <c r="K94" s="6"/>
      <c r="L94" s="7">
        <v>0</v>
      </c>
    </row>
    <row r="95" spans="1:12" x14ac:dyDescent="0.3">
      <c r="A95" t="s">
        <v>131</v>
      </c>
      <c r="B95" s="6">
        <v>45476</v>
      </c>
      <c r="C95" t="s">
        <v>24</v>
      </c>
      <c r="D95" t="s">
        <v>37</v>
      </c>
      <c r="E95" t="s">
        <v>26</v>
      </c>
      <c r="F95">
        <v>25</v>
      </c>
      <c r="G95" s="7">
        <v>92.52</v>
      </c>
      <c r="H95">
        <v>2</v>
      </c>
      <c r="I95" t="s">
        <v>27</v>
      </c>
      <c r="J95" t="s">
        <v>28</v>
      </c>
      <c r="K95" s="6"/>
      <c r="L95" s="7">
        <v>0</v>
      </c>
    </row>
    <row r="96" spans="1:12" x14ac:dyDescent="0.3">
      <c r="A96" t="s">
        <v>132</v>
      </c>
      <c r="B96" s="6">
        <v>45066</v>
      </c>
      <c r="C96" t="s">
        <v>24</v>
      </c>
      <c r="D96" t="s">
        <v>25</v>
      </c>
      <c r="E96" t="s">
        <v>41</v>
      </c>
      <c r="F96">
        <v>39</v>
      </c>
      <c r="G96" s="7">
        <v>51.7</v>
      </c>
      <c r="H96">
        <v>2</v>
      </c>
      <c r="I96" t="s">
        <v>38</v>
      </c>
      <c r="J96" t="s">
        <v>28</v>
      </c>
      <c r="K96" s="6"/>
      <c r="L96" s="7">
        <v>0</v>
      </c>
    </row>
    <row r="97" spans="1:12" x14ac:dyDescent="0.3">
      <c r="A97" t="s">
        <v>133</v>
      </c>
      <c r="B97" s="6">
        <v>46164</v>
      </c>
      <c r="C97" t="s">
        <v>30</v>
      </c>
      <c r="D97" t="s">
        <v>45</v>
      </c>
      <c r="E97" t="s">
        <v>41</v>
      </c>
      <c r="F97">
        <v>3</v>
      </c>
      <c r="G97" s="7">
        <v>241.51</v>
      </c>
      <c r="H97">
        <v>1</v>
      </c>
      <c r="I97" t="s">
        <v>38</v>
      </c>
      <c r="J97" t="s">
        <v>28</v>
      </c>
      <c r="K97" s="6"/>
      <c r="L97" s="7">
        <v>0</v>
      </c>
    </row>
    <row r="98" spans="1:12" x14ac:dyDescent="0.3">
      <c r="A98" t="s">
        <v>134</v>
      </c>
      <c r="B98" s="6">
        <v>45796</v>
      </c>
      <c r="C98" t="s">
        <v>43</v>
      </c>
      <c r="D98" t="s">
        <v>37</v>
      </c>
      <c r="E98" t="s">
        <v>41</v>
      </c>
      <c r="F98">
        <v>15</v>
      </c>
      <c r="G98" s="7">
        <v>88.4</v>
      </c>
      <c r="H98">
        <v>2</v>
      </c>
      <c r="I98" t="s">
        <v>38</v>
      </c>
      <c r="J98" t="s">
        <v>28</v>
      </c>
      <c r="K98" s="6"/>
      <c r="L98" s="7">
        <v>0</v>
      </c>
    </row>
    <row r="99" spans="1:12" x14ac:dyDescent="0.3">
      <c r="A99" t="s">
        <v>135</v>
      </c>
      <c r="B99" s="6">
        <v>45446</v>
      </c>
      <c r="C99" t="s">
        <v>32</v>
      </c>
      <c r="D99" t="s">
        <v>37</v>
      </c>
      <c r="E99" t="s">
        <v>33</v>
      </c>
      <c r="F99">
        <v>26</v>
      </c>
      <c r="G99" s="7">
        <v>103.96</v>
      </c>
      <c r="H99">
        <v>3</v>
      </c>
      <c r="I99" t="s">
        <v>27</v>
      </c>
      <c r="J99" t="s">
        <v>28</v>
      </c>
      <c r="K99" s="6"/>
      <c r="L99" s="7">
        <v>0</v>
      </c>
    </row>
    <row r="100" spans="1:12" x14ac:dyDescent="0.3">
      <c r="A100" t="s">
        <v>136</v>
      </c>
      <c r="B100" s="6">
        <v>46026</v>
      </c>
      <c r="C100" t="s">
        <v>24</v>
      </c>
      <c r="D100" t="s">
        <v>37</v>
      </c>
      <c r="E100" t="s">
        <v>33</v>
      </c>
      <c r="F100">
        <v>7</v>
      </c>
      <c r="G100" s="7">
        <v>86.56</v>
      </c>
      <c r="H100">
        <v>1</v>
      </c>
      <c r="I100" t="s">
        <v>27</v>
      </c>
      <c r="J100" t="s">
        <v>28</v>
      </c>
      <c r="K100" s="6"/>
      <c r="L100" s="7">
        <v>0</v>
      </c>
    </row>
    <row r="101" spans="1:12" x14ac:dyDescent="0.3">
      <c r="A101" t="s">
        <v>137</v>
      </c>
      <c r="B101" s="6">
        <v>44933</v>
      </c>
      <c r="C101" t="s">
        <v>30</v>
      </c>
      <c r="D101" t="s">
        <v>25</v>
      </c>
      <c r="E101" t="s">
        <v>41</v>
      </c>
      <c r="F101">
        <v>43</v>
      </c>
      <c r="G101" s="7">
        <v>63.28</v>
      </c>
      <c r="H101">
        <v>4</v>
      </c>
      <c r="I101" t="s">
        <v>38</v>
      </c>
      <c r="J101" t="s">
        <v>28</v>
      </c>
      <c r="K101" s="6"/>
      <c r="L101" s="7">
        <v>0</v>
      </c>
    </row>
    <row r="102" spans="1:12" x14ac:dyDescent="0.3">
      <c r="A102" t="s">
        <v>138</v>
      </c>
      <c r="B102" s="6">
        <v>44978</v>
      </c>
      <c r="C102" t="s">
        <v>43</v>
      </c>
      <c r="D102" t="s">
        <v>25</v>
      </c>
      <c r="E102" t="s">
        <v>41</v>
      </c>
      <c r="F102">
        <v>42</v>
      </c>
      <c r="G102" s="7">
        <v>46.71</v>
      </c>
      <c r="H102">
        <v>11</v>
      </c>
      <c r="I102" t="s">
        <v>27</v>
      </c>
      <c r="J102" t="s">
        <v>52</v>
      </c>
      <c r="K102" s="6">
        <v>45424</v>
      </c>
      <c r="L102" s="7">
        <v>46.71</v>
      </c>
    </row>
    <row r="103" spans="1:12" x14ac:dyDescent="0.3">
      <c r="A103" t="s">
        <v>139</v>
      </c>
      <c r="B103" s="6">
        <v>45860</v>
      </c>
      <c r="C103" t="s">
        <v>43</v>
      </c>
      <c r="D103" t="s">
        <v>25</v>
      </c>
      <c r="E103" t="s">
        <v>26</v>
      </c>
      <c r="F103">
        <v>13</v>
      </c>
      <c r="G103" s="7">
        <v>38.450000000000003</v>
      </c>
      <c r="H103">
        <v>5</v>
      </c>
      <c r="I103" t="s">
        <v>35</v>
      </c>
      <c r="J103" t="s">
        <v>52</v>
      </c>
      <c r="K103" s="6">
        <v>46143</v>
      </c>
      <c r="L103" s="7">
        <v>38.450000000000003</v>
      </c>
    </row>
    <row r="104" spans="1:12" x14ac:dyDescent="0.3">
      <c r="A104" t="s">
        <v>140</v>
      </c>
      <c r="B104" s="6">
        <v>46036</v>
      </c>
      <c r="C104" t="s">
        <v>24</v>
      </c>
      <c r="D104" t="s">
        <v>37</v>
      </c>
      <c r="E104" t="s">
        <v>26</v>
      </c>
      <c r="F104">
        <v>7</v>
      </c>
      <c r="G104" s="7">
        <v>81.739999999999995</v>
      </c>
      <c r="H104">
        <v>0</v>
      </c>
      <c r="I104" t="s">
        <v>38</v>
      </c>
      <c r="J104" t="s">
        <v>28</v>
      </c>
      <c r="K104" s="6"/>
      <c r="L104" s="7">
        <v>0</v>
      </c>
    </row>
    <row r="105" spans="1:12" x14ac:dyDescent="0.3">
      <c r="A105" t="s">
        <v>141</v>
      </c>
      <c r="B105" s="6">
        <v>46103</v>
      </c>
      <c r="C105" t="s">
        <v>43</v>
      </c>
      <c r="D105" t="s">
        <v>37</v>
      </c>
      <c r="E105" t="s">
        <v>33</v>
      </c>
      <c r="F105">
        <v>5</v>
      </c>
      <c r="G105" s="7">
        <v>91.68</v>
      </c>
      <c r="H105">
        <v>2</v>
      </c>
      <c r="I105" t="s">
        <v>38</v>
      </c>
      <c r="J105" t="s">
        <v>28</v>
      </c>
      <c r="K105" s="6"/>
      <c r="L105" s="7">
        <v>0</v>
      </c>
    </row>
    <row r="106" spans="1:12" x14ac:dyDescent="0.3">
      <c r="A106" t="s">
        <v>142</v>
      </c>
      <c r="B106" s="6">
        <v>46113</v>
      </c>
      <c r="C106" t="s">
        <v>43</v>
      </c>
      <c r="D106" t="s">
        <v>45</v>
      </c>
      <c r="E106" t="s">
        <v>41</v>
      </c>
      <c r="F106">
        <v>4</v>
      </c>
      <c r="G106" s="7">
        <v>235.73</v>
      </c>
      <c r="H106">
        <v>3</v>
      </c>
      <c r="I106" t="s">
        <v>38</v>
      </c>
      <c r="J106" t="s">
        <v>28</v>
      </c>
      <c r="K106" s="6"/>
      <c r="L106" s="7">
        <v>0</v>
      </c>
    </row>
    <row r="107" spans="1:12" x14ac:dyDescent="0.3">
      <c r="A107" t="s">
        <v>143</v>
      </c>
      <c r="B107" s="6">
        <v>44970</v>
      </c>
      <c r="C107" t="s">
        <v>43</v>
      </c>
      <c r="D107" t="s">
        <v>37</v>
      </c>
      <c r="E107" t="s">
        <v>26</v>
      </c>
      <c r="F107">
        <v>42</v>
      </c>
      <c r="G107" s="7">
        <v>80.19</v>
      </c>
      <c r="H107">
        <v>3</v>
      </c>
      <c r="I107" t="s">
        <v>35</v>
      </c>
      <c r="J107" t="s">
        <v>52</v>
      </c>
      <c r="K107" s="6">
        <v>45291</v>
      </c>
      <c r="L107" s="7">
        <v>80.19</v>
      </c>
    </row>
    <row r="108" spans="1:12" x14ac:dyDescent="0.3">
      <c r="A108" t="s">
        <v>144</v>
      </c>
      <c r="B108" s="6">
        <v>46041</v>
      </c>
      <c r="C108" t="s">
        <v>43</v>
      </c>
      <c r="D108" t="s">
        <v>45</v>
      </c>
      <c r="E108" t="s">
        <v>41</v>
      </c>
      <c r="F108">
        <v>7</v>
      </c>
      <c r="G108" s="7">
        <v>162.38</v>
      </c>
      <c r="H108">
        <v>2</v>
      </c>
      <c r="I108" t="s">
        <v>27</v>
      </c>
      <c r="J108" t="s">
        <v>28</v>
      </c>
      <c r="K108" s="6"/>
      <c r="L108" s="7">
        <v>0</v>
      </c>
    </row>
    <row r="109" spans="1:12" x14ac:dyDescent="0.3">
      <c r="A109" t="s">
        <v>145</v>
      </c>
      <c r="B109" s="6">
        <v>46137</v>
      </c>
      <c r="C109" t="s">
        <v>30</v>
      </c>
      <c r="D109" t="s">
        <v>37</v>
      </c>
      <c r="E109" t="s">
        <v>41</v>
      </c>
      <c r="F109">
        <v>4</v>
      </c>
      <c r="G109" s="7">
        <v>131.41</v>
      </c>
      <c r="H109">
        <v>5</v>
      </c>
      <c r="I109" t="s">
        <v>38</v>
      </c>
      <c r="J109" t="s">
        <v>28</v>
      </c>
      <c r="K109" s="6"/>
      <c r="L109" s="7">
        <v>0</v>
      </c>
    </row>
    <row r="110" spans="1:12" x14ac:dyDescent="0.3">
      <c r="A110" t="s">
        <v>146</v>
      </c>
      <c r="B110" s="6">
        <v>45677</v>
      </c>
      <c r="C110" t="s">
        <v>32</v>
      </c>
      <c r="D110" t="s">
        <v>25</v>
      </c>
      <c r="E110" t="s">
        <v>33</v>
      </c>
      <c r="F110">
        <v>19</v>
      </c>
      <c r="G110" s="7">
        <v>55.54</v>
      </c>
      <c r="H110">
        <v>4</v>
      </c>
      <c r="I110" t="s">
        <v>27</v>
      </c>
      <c r="J110" t="s">
        <v>28</v>
      </c>
      <c r="K110" s="6"/>
      <c r="L110" s="7">
        <v>0</v>
      </c>
    </row>
    <row r="111" spans="1:12" x14ac:dyDescent="0.3">
      <c r="A111" t="s">
        <v>147</v>
      </c>
      <c r="B111" s="6">
        <v>46149</v>
      </c>
      <c r="C111" t="s">
        <v>32</v>
      </c>
      <c r="D111" t="s">
        <v>25</v>
      </c>
      <c r="E111" t="s">
        <v>26</v>
      </c>
      <c r="F111">
        <v>3</v>
      </c>
      <c r="G111" s="7">
        <v>37.31</v>
      </c>
      <c r="H111">
        <v>2</v>
      </c>
      <c r="I111" t="s">
        <v>27</v>
      </c>
      <c r="J111" t="s">
        <v>28</v>
      </c>
      <c r="K111" s="6"/>
      <c r="L111" s="7">
        <v>0</v>
      </c>
    </row>
    <row r="112" spans="1:12" x14ac:dyDescent="0.3">
      <c r="A112" t="s">
        <v>148</v>
      </c>
      <c r="B112" s="6">
        <v>46085</v>
      </c>
      <c r="C112" t="s">
        <v>30</v>
      </c>
      <c r="D112" t="s">
        <v>25</v>
      </c>
      <c r="E112" t="s">
        <v>33</v>
      </c>
      <c r="F112">
        <v>5</v>
      </c>
      <c r="G112" s="7">
        <v>61.69</v>
      </c>
      <c r="H112">
        <v>4</v>
      </c>
      <c r="I112" t="s">
        <v>35</v>
      </c>
      <c r="J112" t="s">
        <v>28</v>
      </c>
      <c r="K112" s="6"/>
      <c r="L112" s="7">
        <v>0</v>
      </c>
    </row>
    <row r="113" spans="1:12" x14ac:dyDescent="0.3">
      <c r="A113" t="s">
        <v>149</v>
      </c>
      <c r="B113" s="6">
        <v>45241</v>
      </c>
      <c r="C113" t="s">
        <v>24</v>
      </c>
      <c r="D113" t="s">
        <v>37</v>
      </c>
      <c r="E113" t="s">
        <v>26</v>
      </c>
      <c r="F113">
        <v>33</v>
      </c>
      <c r="G113" s="7">
        <v>106.65</v>
      </c>
      <c r="H113">
        <v>7</v>
      </c>
      <c r="I113" t="s">
        <v>38</v>
      </c>
      <c r="J113" t="s">
        <v>28</v>
      </c>
      <c r="K113" s="6"/>
      <c r="L113" s="7">
        <v>0</v>
      </c>
    </row>
    <row r="114" spans="1:12" x14ac:dyDescent="0.3">
      <c r="A114" t="s">
        <v>150</v>
      </c>
      <c r="B114" s="6">
        <v>46100</v>
      </c>
      <c r="C114" t="s">
        <v>30</v>
      </c>
      <c r="D114" t="s">
        <v>37</v>
      </c>
      <c r="E114" t="s">
        <v>41</v>
      </c>
      <c r="F114">
        <v>5</v>
      </c>
      <c r="G114" s="7">
        <v>95.15</v>
      </c>
      <c r="H114">
        <v>2</v>
      </c>
      <c r="I114" t="s">
        <v>38</v>
      </c>
      <c r="J114" t="s">
        <v>52</v>
      </c>
      <c r="K114" s="6">
        <v>46192</v>
      </c>
      <c r="L114" s="7">
        <v>95.15</v>
      </c>
    </row>
    <row r="115" spans="1:12" x14ac:dyDescent="0.3">
      <c r="A115" t="s">
        <v>151</v>
      </c>
      <c r="B115" s="6">
        <v>45529</v>
      </c>
      <c r="C115" t="s">
        <v>32</v>
      </c>
      <c r="D115" t="s">
        <v>25</v>
      </c>
      <c r="E115" t="s">
        <v>26</v>
      </c>
      <c r="F115">
        <v>24</v>
      </c>
      <c r="G115" s="7">
        <v>48.61</v>
      </c>
      <c r="H115">
        <v>3</v>
      </c>
      <c r="I115" t="s">
        <v>38</v>
      </c>
      <c r="J115" t="s">
        <v>52</v>
      </c>
      <c r="K115" s="6">
        <v>45926</v>
      </c>
      <c r="L115" s="7">
        <v>48.61</v>
      </c>
    </row>
    <row r="116" spans="1:12" x14ac:dyDescent="0.3">
      <c r="A116" t="s">
        <v>152</v>
      </c>
      <c r="B116" s="6">
        <v>45714</v>
      </c>
      <c r="C116" t="s">
        <v>32</v>
      </c>
      <c r="D116" t="s">
        <v>45</v>
      </c>
      <c r="E116" t="s">
        <v>41</v>
      </c>
      <c r="F116">
        <v>18</v>
      </c>
      <c r="G116" s="7">
        <v>149.13999999999999</v>
      </c>
      <c r="H116">
        <v>2</v>
      </c>
      <c r="I116" t="s">
        <v>35</v>
      </c>
      <c r="J116" t="s">
        <v>28</v>
      </c>
      <c r="K116" s="6"/>
      <c r="L116" s="7">
        <v>0</v>
      </c>
    </row>
    <row r="117" spans="1:12" x14ac:dyDescent="0.3">
      <c r="A117" t="s">
        <v>153</v>
      </c>
      <c r="B117" s="6">
        <v>44951</v>
      </c>
      <c r="C117" t="s">
        <v>32</v>
      </c>
      <c r="D117" t="s">
        <v>45</v>
      </c>
      <c r="E117" t="s">
        <v>33</v>
      </c>
      <c r="F117">
        <v>43</v>
      </c>
      <c r="G117" s="7">
        <v>161.16</v>
      </c>
      <c r="H117">
        <v>2</v>
      </c>
      <c r="I117" t="s">
        <v>35</v>
      </c>
      <c r="J117" t="s">
        <v>28</v>
      </c>
      <c r="K117" s="6"/>
      <c r="L117" s="7">
        <v>0</v>
      </c>
    </row>
    <row r="118" spans="1:12" x14ac:dyDescent="0.3">
      <c r="A118" t="s">
        <v>154</v>
      </c>
      <c r="B118" s="6">
        <v>45021</v>
      </c>
      <c r="C118" t="s">
        <v>32</v>
      </c>
      <c r="D118" t="s">
        <v>37</v>
      </c>
      <c r="E118" t="s">
        <v>33</v>
      </c>
      <c r="F118">
        <v>40</v>
      </c>
      <c r="G118" s="7">
        <v>129.71</v>
      </c>
      <c r="H118">
        <v>5</v>
      </c>
      <c r="I118" t="s">
        <v>27</v>
      </c>
      <c r="J118" t="s">
        <v>28</v>
      </c>
      <c r="K118" s="6"/>
      <c r="L118" s="7">
        <v>0</v>
      </c>
    </row>
    <row r="119" spans="1:12" x14ac:dyDescent="0.3">
      <c r="A119" t="s">
        <v>155</v>
      </c>
      <c r="B119" s="6">
        <v>45955</v>
      </c>
      <c r="C119" t="s">
        <v>43</v>
      </c>
      <c r="D119" t="s">
        <v>25</v>
      </c>
      <c r="E119" t="s">
        <v>41</v>
      </c>
      <c r="F119">
        <v>10</v>
      </c>
      <c r="G119" s="7">
        <v>55.33</v>
      </c>
      <c r="H119">
        <v>6</v>
      </c>
      <c r="I119" t="s">
        <v>38</v>
      </c>
      <c r="J119" t="s">
        <v>28</v>
      </c>
      <c r="K119" s="6"/>
      <c r="L119" s="7">
        <v>0</v>
      </c>
    </row>
    <row r="120" spans="1:12" x14ac:dyDescent="0.3">
      <c r="A120" t="s">
        <v>156</v>
      </c>
      <c r="B120" s="6">
        <v>45429</v>
      </c>
      <c r="C120" t="s">
        <v>32</v>
      </c>
      <c r="D120" t="s">
        <v>25</v>
      </c>
      <c r="E120" t="s">
        <v>26</v>
      </c>
      <c r="F120">
        <v>27</v>
      </c>
      <c r="G120" s="7">
        <v>55.4</v>
      </c>
      <c r="H120">
        <v>3</v>
      </c>
      <c r="I120" t="s">
        <v>38</v>
      </c>
      <c r="J120" t="s">
        <v>28</v>
      </c>
      <c r="K120" s="6"/>
      <c r="L120" s="7">
        <v>0</v>
      </c>
    </row>
    <row r="121" spans="1:12" x14ac:dyDescent="0.3">
      <c r="A121" t="s">
        <v>157</v>
      </c>
      <c r="B121" s="6">
        <v>45605</v>
      </c>
      <c r="C121" t="s">
        <v>43</v>
      </c>
      <c r="D121" t="s">
        <v>37</v>
      </c>
      <c r="E121" t="s">
        <v>41</v>
      </c>
      <c r="F121">
        <v>21</v>
      </c>
      <c r="G121" s="7">
        <v>121.45</v>
      </c>
      <c r="H121">
        <v>5</v>
      </c>
      <c r="I121" t="s">
        <v>27</v>
      </c>
      <c r="J121" t="s">
        <v>52</v>
      </c>
      <c r="K121" s="6">
        <v>46178</v>
      </c>
      <c r="L121" s="7">
        <v>121.45</v>
      </c>
    </row>
    <row r="122" spans="1:12" x14ac:dyDescent="0.3">
      <c r="A122" t="s">
        <v>158</v>
      </c>
      <c r="B122" s="6">
        <v>45887</v>
      </c>
      <c r="C122" t="s">
        <v>24</v>
      </c>
      <c r="D122" t="s">
        <v>37</v>
      </c>
      <c r="E122" t="s">
        <v>33</v>
      </c>
      <c r="F122">
        <v>12</v>
      </c>
      <c r="G122" s="7">
        <v>111.68</v>
      </c>
      <c r="H122">
        <v>0</v>
      </c>
      <c r="I122" t="s">
        <v>38</v>
      </c>
      <c r="J122" t="s">
        <v>28</v>
      </c>
      <c r="K122" s="6"/>
      <c r="L122" s="7">
        <v>0</v>
      </c>
    </row>
    <row r="123" spans="1:12" x14ac:dyDescent="0.3">
      <c r="A123" t="s">
        <v>159</v>
      </c>
      <c r="B123" s="6">
        <v>45454</v>
      </c>
      <c r="C123" t="s">
        <v>24</v>
      </c>
      <c r="D123" t="s">
        <v>37</v>
      </c>
      <c r="E123" t="s">
        <v>41</v>
      </c>
      <c r="F123">
        <v>26</v>
      </c>
      <c r="G123" s="7">
        <v>110.77</v>
      </c>
      <c r="H123">
        <v>5</v>
      </c>
      <c r="I123" t="s">
        <v>38</v>
      </c>
      <c r="J123" t="s">
        <v>28</v>
      </c>
      <c r="K123" s="6"/>
      <c r="L123" s="7">
        <v>0</v>
      </c>
    </row>
    <row r="124" spans="1:12" x14ac:dyDescent="0.3">
      <c r="A124" t="s">
        <v>160</v>
      </c>
      <c r="B124" s="6">
        <v>45798</v>
      </c>
      <c r="C124" t="s">
        <v>43</v>
      </c>
      <c r="D124" t="s">
        <v>45</v>
      </c>
      <c r="E124" t="s">
        <v>41</v>
      </c>
      <c r="F124">
        <v>15</v>
      </c>
      <c r="G124" s="7">
        <v>148.26</v>
      </c>
      <c r="H124">
        <v>5</v>
      </c>
      <c r="I124" t="s">
        <v>35</v>
      </c>
      <c r="J124" t="s">
        <v>28</v>
      </c>
      <c r="K124" s="6"/>
      <c r="L124" s="7">
        <v>0</v>
      </c>
    </row>
    <row r="125" spans="1:12" x14ac:dyDescent="0.3">
      <c r="A125" t="s">
        <v>161</v>
      </c>
      <c r="B125" s="6">
        <v>45662</v>
      </c>
      <c r="C125" t="s">
        <v>32</v>
      </c>
      <c r="D125" t="s">
        <v>25</v>
      </c>
      <c r="E125" t="s">
        <v>26</v>
      </c>
      <c r="F125">
        <v>19</v>
      </c>
      <c r="G125" s="7">
        <v>37.44</v>
      </c>
      <c r="H125">
        <v>5</v>
      </c>
      <c r="I125" t="s">
        <v>38</v>
      </c>
      <c r="J125" t="s">
        <v>52</v>
      </c>
      <c r="K125" s="6">
        <v>46055</v>
      </c>
      <c r="L125" s="7">
        <v>37.44</v>
      </c>
    </row>
    <row r="126" spans="1:12" x14ac:dyDescent="0.3">
      <c r="A126" t="s">
        <v>162</v>
      </c>
      <c r="B126" s="6">
        <v>45181</v>
      </c>
      <c r="C126" t="s">
        <v>30</v>
      </c>
      <c r="D126" t="s">
        <v>37</v>
      </c>
      <c r="E126" t="s">
        <v>26</v>
      </c>
      <c r="F126">
        <v>35</v>
      </c>
      <c r="G126" s="7">
        <v>109.11</v>
      </c>
      <c r="H126">
        <v>4</v>
      </c>
      <c r="I126" t="s">
        <v>27</v>
      </c>
      <c r="J126" t="s">
        <v>28</v>
      </c>
      <c r="K126" s="6"/>
      <c r="L126" s="7">
        <v>0</v>
      </c>
    </row>
    <row r="127" spans="1:12" x14ac:dyDescent="0.3">
      <c r="A127" t="s">
        <v>163</v>
      </c>
      <c r="B127" s="6">
        <v>45039</v>
      </c>
      <c r="C127" t="s">
        <v>30</v>
      </c>
      <c r="D127" t="s">
        <v>37</v>
      </c>
      <c r="E127" t="s">
        <v>41</v>
      </c>
      <c r="F127">
        <v>40</v>
      </c>
      <c r="G127" s="7">
        <v>112.21</v>
      </c>
      <c r="H127">
        <v>6</v>
      </c>
      <c r="I127" t="s">
        <v>38</v>
      </c>
      <c r="J127" t="s">
        <v>28</v>
      </c>
      <c r="K127" s="6"/>
      <c r="L127" s="7">
        <v>0</v>
      </c>
    </row>
    <row r="128" spans="1:12" x14ac:dyDescent="0.3">
      <c r="A128" t="s">
        <v>164</v>
      </c>
      <c r="B128" s="6">
        <v>46212</v>
      </c>
      <c r="C128" t="s">
        <v>24</v>
      </c>
      <c r="D128" t="s">
        <v>25</v>
      </c>
      <c r="E128" t="s">
        <v>26</v>
      </c>
      <c r="F128">
        <v>1</v>
      </c>
      <c r="G128" s="7">
        <v>53.71</v>
      </c>
      <c r="H128">
        <v>1</v>
      </c>
      <c r="I128" t="s">
        <v>35</v>
      </c>
      <c r="J128" t="s">
        <v>28</v>
      </c>
      <c r="K128" s="6"/>
      <c r="L128" s="7">
        <v>0</v>
      </c>
    </row>
    <row r="129" spans="1:12" x14ac:dyDescent="0.3">
      <c r="A129" t="s">
        <v>165</v>
      </c>
      <c r="B129" s="6">
        <v>46059</v>
      </c>
      <c r="C129" t="s">
        <v>24</v>
      </c>
      <c r="D129" t="s">
        <v>25</v>
      </c>
      <c r="E129" t="s">
        <v>41</v>
      </c>
      <c r="F129">
        <v>6</v>
      </c>
      <c r="G129" s="7">
        <v>36.79</v>
      </c>
      <c r="H129">
        <v>5</v>
      </c>
      <c r="I129" t="s">
        <v>27</v>
      </c>
      <c r="J129" t="s">
        <v>52</v>
      </c>
      <c r="K129" s="6">
        <v>46129</v>
      </c>
      <c r="L129" s="7">
        <v>36.79</v>
      </c>
    </row>
    <row r="130" spans="1:12" x14ac:dyDescent="0.3">
      <c r="A130" t="s">
        <v>166</v>
      </c>
      <c r="B130" s="6">
        <v>44946</v>
      </c>
      <c r="C130" t="s">
        <v>30</v>
      </c>
      <c r="D130" t="s">
        <v>25</v>
      </c>
      <c r="E130" t="s">
        <v>41</v>
      </c>
      <c r="F130">
        <v>43</v>
      </c>
      <c r="G130" s="7">
        <v>52.33</v>
      </c>
      <c r="H130">
        <v>1</v>
      </c>
      <c r="I130" t="s">
        <v>35</v>
      </c>
      <c r="J130" t="s">
        <v>28</v>
      </c>
      <c r="K130" s="6"/>
      <c r="L130" s="7">
        <v>0</v>
      </c>
    </row>
    <row r="131" spans="1:12" x14ac:dyDescent="0.3">
      <c r="A131" t="s">
        <v>167</v>
      </c>
      <c r="B131" s="6">
        <v>45545</v>
      </c>
      <c r="C131" t="s">
        <v>24</v>
      </c>
      <c r="D131" t="s">
        <v>37</v>
      </c>
      <c r="E131" t="s">
        <v>26</v>
      </c>
      <c r="F131">
        <v>23</v>
      </c>
      <c r="G131" s="7">
        <v>134.63</v>
      </c>
      <c r="H131">
        <v>1</v>
      </c>
      <c r="I131" t="s">
        <v>38</v>
      </c>
      <c r="J131" t="s">
        <v>28</v>
      </c>
      <c r="K131" s="6"/>
      <c r="L131" s="7">
        <v>0</v>
      </c>
    </row>
    <row r="132" spans="1:12" x14ac:dyDescent="0.3">
      <c r="A132" t="s">
        <v>168</v>
      </c>
      <c r="B132" s="6">
        <v>45121</v>
      </c>
      <c r="C132" t="s">
        <v>32</v>
      </c>
      <c r="D132" t="s">
        <v>25</v>
      </c>
      <c r="E132" t="s">
        <v>26</v>
      </c>
      <c r="F132">
        <v>37</v>
      </c>
      <c r="G132" s="7">
        <v>50.25</v>
      </c>
      <c r="H132">
        <v>3</v>
      </c>
      <c r="I132" t="s">
        <v>27</v>
      </c>
      <c r="J132" t="s">
        <v>28</v>
      </c>
      <c r="K132" s="6"/>
      <c r="L132" s="7">
        <v>0</v>
      </c>
    </row>
    <row r="133" spans="1:12" x14ac:dyDescent="0.3">
      <c r="A133" t="s">
        <v>169</v>
      </c>
      <c r="B133" s="6">
        <v>45101</v>
      </c>
      <c r="C133" t="s">
        <v>43</v>
      </c>
      <c r="D133" t="s">
        <v>45</v>
      </c>
      <c r="E133" t="s">
        <v>41</v>
      </c>
      <c r="F133">
        <v>38</v>
      </c>
      <c r="G133" s="7">
        <v>224.12</v>
      </c>
      <c r="H133">
        <v>4</v>
      </c>
      <c r="I133" t="s">
        <v>35</v>
      </c>
      <c r="J133" t="s">
        <v>28</v>
      </c>
      <c r="K133" s="6"/>
      <c r="L133" s="7">
        <v>0</v>
      </c>
    </row>
    <row r="134" spans="1:12" x14ac:dyDescent="0.3">
      <c r="A134" t="s">
        <v>170</v>
      </c>
      <c r="B134" s="6">
        <v>45798</v>
      </c>
      <c r="C134" t="s">
        <v>30</v>
      </c>
      <c r="D134" t="s">
        <v>25</v>
      </c>
      <c r="E134" t="s">
        <v>33</v>
      </c>
      <c r="F134">
        <v>15</v>
      </c>
      <c r="G134" s="7">
        <v>36.479999999999997</v>
      </c>
      <c r="H134">
        <v>3</v>
      </c>
      <c r="I134" t="s">
        <v>27</v>
      </c>
      <c r="J134" t="s">
        <v>28</v>
      </c>
      <c r="K134" s="6"/>
      <c r="L134" s="7">
        <v>0</v>
      </c>
    </row>
    <row r="135" spans="1:12" x14ac:dyDescent="0.3">
      <c r="A135" t="s">
        <v>171</v>
      </c>
      <c r="B135" s="6">
        <v>45760</v>
      </c>
      <c r="C135" t="s">
        <v>43</v>
      </c>
      <c r="D135" t="s">
        <v>45</v>
      </c>
      <c r="E135" t="s">
        <v>41</v>
      </c>
      <c r="F135">
        <v>16</v>
      </c>
      <c r="G135" s="7">
        <v>258.35000000000002</v>
      </c>
      <c r="H135">
        <v>4</v>
      </c>
      <c r="I135" t="s">
        <v>35</v>
      </c>
      <c r="J135" t="s">
        <v>28</v>
      </c>
      <c r="K135" s="6"/>
      <c r="L135" s="7">
        <v>0</v>
      </c>
    </row>
    <row r="136" spans="1:12" x14ac:dyDescent="0.3">
      <c r="A136" t="s">
        <v>172</v>
      </c>
      <c r="B136" s="6">
        <v>46129</v>
      </c>
      <c r="C136" t="s">
        <v>24</v>
      </c>
      <c r="D136" t="s">
        <v>25</v>
      </c>
      <c r="E136" t="s">
        <v>41</v>
      </c>
      <c r="F136">
        <v>4</v>
      </c>
      <c r="G136" s="7">
        <v>58.83</v>
      </c>
      <c r="H136">
        <v>1</v>
      </c>
      <c r="I136" t="s">
        <v>27</v>
      </c>
      <c r="J136" t="s">
        <v>52</v>
      </c>
      <c r="K136" s="6">
        <v>46233</v>
      </c>
      <c r="L136" s="7">
        <v>58.83</v>
      </c>
    </row>
    <row r="137" spans="1:12" x14ac:dyDescent="0.3">
      <c r="A137" t="s">
        <v>173</v>
      </c>
      <c r="B137" s="6">
        <v>45353</v>
      </c>
      <c r="C137" t="s">
        <v>24</v>
      </c>
      <c r="D137" t="s">
        <v>25</v>
      </c>
      <c r="E137" t="s">
        <v>41</v>
      </c>
      <c r="F137">
        <v>29</v>
      </c>
      <c r="G137" s="7">
        <v>65.260000000000005</v>
      </c>
      <c r="H137">
        <v>2</v>
      </c>
      <c r="I137" t="s">
        <v>27</v>
      </c>
      <c r="J137" t="s">
        <v>28</v>
      </c>
      <c r="K137" s="6"/>
      <c r="L137" s="7">
        <v>0</v>
      </c>
    </row>
    <row r="138" spans="1:12" x14ac:dyDescent="0.3">
      <c r="A138" t="s">
        <v>174</v>
      </c>
      <c r="B138" s="6">
        <v>44928</v>
      </c>
      <c r="C138" t="s">
        <v>30</v>
      </c>
      <c r="D138" t="s">
        <v>45</v>
      </c>
      <c r="E138" t="s">
        <v>26</v>
      </c>
      <c r="F138">
        <v>43</v>
      </c>
      <c r="G138" s="7">
        <v>149.37</v>
      </c>
      <c r="H138">
        <v>4</v>
      </c>
      <c r="I138" t="s">
        <v>38</v>
      </c>
      <c r="J138" t="s">
        <v>28</v>
      </c>
      <c r="K138" s="6"/>
      <c r="L138" s="7">
        <v>0</v>
      </c>
    </row>
    <row r="139" spans="1:12" x14ac:dyDescent="0.3">
      <c r="A139" t="s">
        <v>175</v>
      </c>
      <c r="B139" s="6">
        <v>45557</v>
      </c>
      <c r="C139" t="s">
        <v>24</v>
      </c>
      <c r="D139" t="s">
        <v>45</v>
      </c>
      <c r="E139" t="s">
        <v>33</v>
      </c>
      <c r="F139">
        <v>23</v>
      </c>
      <c r="G139" s="7">
        <v>157.5</v>
      </c>
      <c r="H139">
        <v>3</v>
      </c>
      <c r="I139" t="s">
        <v>27</v>
      </c>
      <c r="J139" t="s">
        <v>28</v>
      </c>
      <c r="K139" s="6"/>
      <c r="L139" s="7">
        <v>0</v>
      </c>
    </row>
    <row r="140" spans="1:12" x14ac:dyDescent="0.3">
      <c r="A140" t="s">
        <v>176</v>
      </c>
      <c r="B140" s="6">
        <v>44952</v>
      </c>
      <c r="C140" t="s">
        <v>24</v>
      </c>
      <c r="D140" t="s">
        <v>45</v>
      </c>
      <c r="E140" t="s">
        <v>26</v>
      </c>
      <c r="F140">
        <v>43</v>
      </c>
      <c r="G140" s="7">
        <v>204.12</v>
      </c>
      <c r="H140">
        <v>5</v>
      </c>
      <c r="I140" t="s">
        <v>38</v>
      </c>
      <c r="J140" t="s">
        <v>28</v>
      </c>
      <c r="K140" s="6"/>
      <c r="L140" s="7">
        <v>0</v>
      </c>
    </row>
    <row r="141" spans="1:12" x14ac:dyDescent="0.3">
      <c r="A141" t="s">
        <v>177</v>
      </c>
      <c r="B141" s="6">
        <v>45822</v>
      </c>
      <c r="C141" t="s">
        <v>43</v>
      </c>
      <c r="D141" t="s">
        <v>25</v>
      </c>
      <c r="E141" t="s">
        <v>41</v>
      </c>
      <c r="F141">
        <v>14</v>
      </c>
      <c r="G141" s="7">
        <v>65.3</v>
      </c>
      <c r="H141">
        <v>6</v>
      </c>
      <c r="I141" t="s">
        <v>38</v>
      </c>
      <c r="J141" t="s">
        <v>52</v>
      </c>
      <c r="K141" s="6">
        <v>46040</v>
      </c>
      <c r="L141" s="7">
        <v>65.3</v>
      </c>
    </row>
    <row r="142" spans="1:12" x14ac:dyDescent="0.3">
      <c r="A142" t="s">
        <v>178</v>
      </c>
      <c r="B142" s="6">
        <v>46213</v>
      </c>
      <c r="C142" t="s">
        <v>24</v>
      </c>
      <c r="D142" t="s">
        <v>37</v>
      </c>
      <c r="E142" t="s">
        <v>41</v>
      </c>
      <c r="F142">
        <v>1</v>
      </c>
      <c r="G142" s="7">
        <v>104.67</v>
      </c>
      <c r="H142">
        <v>5</v>
      </c>
      <c r="I142" t="s">
        <v>35</v>
      </c>
      <c r="J142" t="s">
        <v>52</v>
      </c>
      <c r="K142" s="6">
        <v>46243</v>
      </c>
      <c r="L142" s="7">
        <v>104.67</v>
      </c>
    </row>
    <row r="143" spans="1:12" x14ac:dyDescent="0.3">
      <c r="A143" t="s">
        <v>179</v>
      </c>
      <c r="B143" s="6">
        <v>45209</v>
      </c>
      <c r="C143" t="s">
        <v>30</v>
      </c>
      <c r="D143" t="s">
        <v>37</v>
      </c>
      <c r="E143" t="s">
        <v>41</v>
      </c>
      <c r="F143">
        <v>34</v>
      </c>
      <c r="G143" s="7">
        <v>84.73</v>
      </c>
      <c r="H143">
        <v>4</v>
      </c>
      <c r="I143" t="s">
        <v>27</v>
      </c>
      <c r="J143" t="s">
        <v>28</v>
      </c>
      <c r="K143" s="6"/>
      <c r="L143" s="7">
        <v>0</v>
      </c>
    </row>
    <row r="144" spans="1:12" x14ac:dyDescent="0.3">
      <c r="A144" t="s">
        <v>180</v>
      </c>
      <c r="B144" s="6">
        <v>45093</v>
      </c>
      <c r="C144" t="s">
        <v>24</v>
      </c>
      <c r="D144" t="s">
        <v>37</v>
      </c>
      <c r="E144" t="s">
        <v>26</v>
      </c>
      <c r="F144">
        <v>38</v>
      </c>
      <c r="G144" s="7">
        <v>124</v>
      </c>
      <c r="H144">
        <v>6</v>
      </c>
      <c r="I144" t="s">
        <v>35</v>
      </c>
      <c r="J144" t="s">
        <v>28</v>
      </c>
      <c r="K144" s="6"/>
      <c r="L144" s="7">
        <v>0</v>
      </c>
    </row>
    <row r="145" spans="1:12" x14ac:dyDescent="0.3">
      <c r="A145" t="s">
        <v>181</v>
      </c>
      <c r="B145" s="6">
        <v>45936</v>
      </c>
      <c r="C145" t="s">
        <v>43</v>
      </c>
      <c r="D145" t="s">
        <v>25</v>
      </c>
      <c r="E145" t="s">
        <v>33</v>
      </c>
      <c r="F145">
        <v>10</v>
      </c>
      <c r="G145" s="7">
        <v>43.29</v>
      </c>
      <c r="H145">
        <v>2</v>
      </c>
      <c r="I145" t="s">
        <v>35</v>
      </c>
      <c r="J145" t="s">
        <v>28</v>
      </c>
      <c r="K145" s="6"/>
      <c r="L145" s="7">
        <v>0</v>
      </c>
    </row>
    <row r="146" spans="1:12" x14ac:dyDescent="0.3">
      <c r="A146" t="s">
        <v>182</v>
      </c>
      <c r="B146" s="6">
        <v>45164</v>
      </c>
      <c r="C146" t="s">
        <v>24</v>
      </c>
      <c r="D146" t="s">
        <v>45</v>
      </c>
      <c r="E146" t="s">
        <v>41</v>
      </c>
      <c r="F146">
        <v>36</v>
      </c>
      <c r="G146" s="7">
        <v>155.99</v>
      </c>
      <c r="H146">
        <v>7</v>
      </c>
      <c r="I146" t="s">
        <v>38</v>
      </c>
      <c r="J146" t="s">
        <v>28</v>
      </c>
      <c r="K146" s="6"/>
      <c r="L146" s="7">
        <v>0</v>
      </c>
    </row>
    <row r="147" spans="1:12" x14ac:dyDescent="0.3">
      <c r="A147" t="s">
        <v>183</v>
      </c>
      <c r="B147" s="6">
        <v>45084</v>
      </c>
      <c r="C147" t="s">
        <v>43</v>
      </c>
      <c r="D147" t="s">
        <v>37</v>
      </c>
      <c r="E147" t="s">
        <v>41</v>
      </c>
      <c r="F147">
        <v>38</v>
      </c>
      <c r="G147" s="7">
        <v>106.33</v>
      </c>
      <c r="H147">
        <v>1</v>
      </c>
      <c r="I147" t="s">
        <v>38</v>
      </c>
      <c r="J147" t="s">
        <v>52</v>
      </c>
      <c r="K147" s="6">
        <v>45592</v>
      </c>
      <c r="L147" s="7">
        <v>106.33</v>
      </c>
    </row>
    <row r="148" spans="1:12" x14ac:dyDescent="0.3">
      <c r="A148" t="s">
        <v>184</v>
      </c>
      <c r="B148" s="6">
        <v>45555</v>
      </c>
      <c r="C148" t="s">
        <v>24</v>
      </c>
      <c r="D148" t="s">
        <v>37</v>
      </c>
      <c r="E148" t="s">
        <v>26</v>
      </c>
      <c r="F148">
        <v>23</v>
      </c>
      <c r="G148" s="7">
        <v>104.87</v>
      </c>
      <c r="H148">
        <v>4</v>
      </c>
      <c r="I148" t="s">
        <v>38</v>
      </c>
      <c r="J148" t="s">
        <v>28</v>
      </c>
      <c r="K148" s="6"/>
      <c r="L148" s="7">
        <v>0</v>
      </c>
    </row>
    <row r="149" spans="1:12" x14ac:dyDescent="0.3">
      <c r="A149" t="s">
        <v>185</v>
      </c>
      <c r="B149" s="6">
        <v>45519</v>
      </c>
      <c r="C149" t="s">
        <v>43</v>
      </c>
      <c r="D149" t="s">
        <v>45</v>
      </c>
      <c r="E149" t="s">
        <v>41</v>
      </c>
      <c r="F149">
        <v>24</v>
      </c>
      <c r="G149" s="7">
        <v>186.09</v>
      </c>
      <c r="H149">
        <v>1</v>
      </c>
      <c r="I149" t="s">
        <v>35</v>
      </c>
      <c r="J149" t="s">
        <v>28</v>
      </c>
      <c r="K149" s="6"/>
      <c r="L149" s="7">
        <v>0</v>
      </c>
    </row>
    <row r="150" spans="1:12" x14ac:dyDescent="0.3">
      <c r="A150" t="s">
        <v>186</v>
      </c>
      <c r="B150" s="6">
        <v>45542</v>
      </c>
      <c r="C150" t="s">
        <v>43</v>
      </c>
      <c r="D150" t="s">
        <v>37</v>
      </c>
      <c r="E150" t="s">
        <v>26</v>
      </c>
      <c r="F150">
        <v>23</v>
      </c>
      <c r="G150" s="7">
        <v>124.07</v>
      </c>
      <c r="H150">
        <v>1</v>
      </c>
      <c r="I150" t="s">
        <v>35</v>
      </c>
      <c r="J150" t="s">
        <v>28</v>
      </c>
      <c r="K150" s="6"/>
      <c r="L150" s="7">
        <v>0</v>
      </c>
    </row>
    <row r="151" spans="1:12" x14ac:dyDescent="0.3">
      <c r="A151" t="s">
        <v>187</v>
      </c>
      <c r="B151" s="6">
        <v>45947</v>
      </c>
      <c r="C151" t="s">
        <v>43</v>
      </c>
      <c r="D151" t="s">
        <v>25</v>
      </c>
      <c r="E151" t="s">
        <v>41</v>
      </c>
      <c r="F151">
        <v>10</v>
      </c>
      <c r="G151" s="7">
        <v>66.11</v>
      </c>
      <c r="H151">
        <v>1</v>
      </c>
      <c r="I151" t="s">
        <v>35</v>
      </c>
      <c r="J151" t="s">
        <v>28</v>
      </c>
      <c r="K151" s="6"/>
      <c r="L151" s="7">
        <v>0</v>
      </c>
    </row>
    <row r="152" spans="1:12" x14ac:dyDescent="0.3">
      <c r="A152" t="s">
        <v>188</v>
      </c>
      <c r="B152" s="6">
        <v>45007</v>
      </c>
      <c r="C152" t="s">
        <v>24</v>
      </c>
      <c r="D152" t="s">
        <v>25</v>
      </c>
      <c r="E152" t="s">
        <v>41</v>
      </c>
      <c r="F152">
        <v>41</v>
      </c>
      <c r="G152" s="7">
        <v>66.989999999999995</v>
      </c>
      <c r="H152">
        <v>4</v>
      </c>
      <c r="I152" t="s">
        <v>27</v>
      </c>
      <c r="J152" t="s">
        <v>28</v>
      </c>
      <c r="K152" s="6"/>
      <c r="L152" s="7">
        <v>0</v>
      </c>
    </row>
    <row r="153" spans="1:12" x14ac:dyDescent="0.3">
      <c r="A153" t="s">
        <v>189</v>
      </c>
      <c r="B153" s="6">
        <v>45234</v>
      </c>
      <c r="C153" t="s">
        <v>43</v>
      </c>
      <c r="D153" t="s">
        <v>25</v>
      </c>
      <c r="E153" t="s">
        <v>33</v>
      </c>
      <c r="F153">
        <v>33</v>
      </c>
      <c r="G153" s="7">
        <v>50.61</v>
      </c>
      <c r="H153">
        <v>0</v>
      </c>
      <c r="I153" t="s">
        <v>38</v>
      </c>
      <c r="J153" t="s">
        <v>52</v>
      </c>
      <c r="K153" s="6">
        <v>46138</v>
      </c>
      <c r="L153" s="7">
        <v>50.61</v>
      </c>
    </row>
    <row r="154" spans="1:12" x14ac:dyDescent="0.3">
      <c r="A154" t="s">
        <v>190</v>
      </c>
      <c r="B154" s="6">
        <v>45556</v>
      </c>
      <c r="C154" t="s">
        <v>43</v>
      </c>
      <c r="D154" t="s">
        <v>37</v>
      </c>
      <c r="E154" t="s">
        <v>41</v>
      </c>
      <c r="F154">
        <v>23</v>
      </c>
      <c r="G154" s="7">
        <v>88.2</v>
      </c>
      <c r="H154">
        <v>3</v>
      </c>
      <c r="I154" t="s">
        <v>38</v>
      </c>
      <c r="J154" t="s">
        <v>28</v>
      </c>
      <c r="K154" s="6"/>
      <c r="L154" s="7">
        <v>0</v>
      </c>
    </row>
    <row r="155" spans="1:12" x14ac:dyDescent="0.3">
      <c r="A155" t="s">
        <v>191</v>
      </c>
      <c r="B155" s="6">
        <v>46211</v>
      </c>
      <c r="C155" t="s">
        <v>30</v>
      </c>
      <c r="D155" t="s">
        <v>45</v>
      </c>
      <c r="E155" t="s">
        <v>41</v>
      </c>
      <c r="F155">
        <v>1</v>
      </c>
      <c r="G155" s="7">
        <v>159.65</v>
      </c>
      <c r="H155">
        <v>3</v>
      </c>
      <c r="I155" t="s">
        <v>38</v>
      </c>
      <c r="J155" t="s">
        <v>28</v>
      </c>
      <c r="K155" s="6"/>
      <c r="L155" s="7">
        <v>0</v>
      </c>
    </row>
    <row r="156" spans="1:12" x14ac:dyDescent="0.3">
      <c r="A156" t="s">
        <v>192</v>
      </c>
      <c r="B156" s="6">
        <v>45115</v>
      </c>
      <c r="C156" t="s">
        <v>32</v>
      </c>
      <c r="D156" t="s">
        <v>45</v>
      </c>
      <c r="E156" t="s">
        <v>26</v>
      </c>
      <c r="F156">
        <v>37</v>
      </c>
      <c r="G156" s="7">
        <v>163.71</v>
      </c>
      <c r="H156">
        <v>4</v>
      </c>
      <c r="I156" t="s">
        <v>35</v>
      </c>
      <c r="J156" t="s">
        <v>52</v>
      </c>
      <c r="K156" s="6">
        <v>45983</v>
      </c>
      <c r="L156" s="7">
        <v>163.71</v>
      </c>
    </row>
    <row r="157" spans="1:12" x14ac:dyDescent="0.3">
      <c r="A157" t="s">
        <v>193</v>
      </c>
      <c r="B157" s="6">
        <v>45607</v>
      </c>
      <c r="C157" t="s">
        <v>24</v>
      </c>
      <c r="D157" t="s">
        <v>37</v>
      </c>
      <c r="E157" t="s">
        <v>26</v>
      </c>
      <c r="F157">
        <v>21</v>
      </c>
      <c r="G157" s="7">
        <v>129.22</v>
      </c>
      <c r="H157">
        <v>1</v>
      </c>
      <c r="I157" t="s">
        <v>38</v>
      </c>
      <c r="J157" t="s">
        <v>28</v>
      </c>
      <c r="K157" s="6"/>
      <c r="L157" s="7">
        <v>0</v>
      </c>
    </row>
    <row r="158" spans="1:12" x14ac:dyDescent="0.3">
      <c r="A158" t="s">
        <v>194</v>
      </c>
      <c r="B158" s="6">
        <v>45374</v>
      </c>
      <c r="C158" t="s">
        <v>30</v>
      </c>
      <c r="D158" t="s">
        <v>45</v>
      </c>
      <c r="E158" t="s">
        <v>41</v>
      </c>
      <c r="F158">
        <v>29</v>
      </c>
      <c r="G158" s="7">
        <v>250.74</v>
      </c>
      <c r="H158">
        <v>2</v>
      </c>
      <c r="I158" t="s">
        <v>27</v>
      </c>
      <c r="J158" t="s">
        <v>28</v>
      </c>
      <c r="K158" s="6"/>
      <c r="L158" s="7">
        <v>0</v>
      </c>
    </row>
    <row r="159" spans="1:12" x14ac:dyDescent="0.3">
      <c r="A159" t="s">
        <v>195</v>
      </c>
      <c r="B159" s="6">
        <v>45911</v>
      </c>
      <c r="C159" t="s">
        <v>32</v>
      </c>
      <c r="D159" t="s">
        <v>45</v>
      </c>
      <c r="E159" t="s">
        <v>33</v>
      </c>
      <c r="F159">
        <v>11</v>
      </c>
      <c r="G159" s="7">
        <v>170.47</v>
      </c>
      <c r="H159">
        <v>3</v>
      </c>
      <c r="I159" t="s">
        <v>38</v>
      </c>
      <c r="J159" t="s">
        <v>28</v>
      </c>
      <c r="K159" s="6"/>
      <c r="L159" s="7">
        <v>0</v>
      </c>
    </row>
    <row r="160" spans="1:12" x14ac:dyDescent="0.3">
      <c r="A160" t="s">
        <v>196</v>
      </c>
      <c r="B160" s="6">
        <v>45280</v>
      </c>
      <c r="C160" t="s">
        <v>43</v>
      </c>
      <c r="D160" t="s">
        <v>45</v>
      </c>
      <c r="E160" t="s">
        <v>41</v>
      </c>
      <c r="F160">
        <v>32</v>
      </c>
      <c r="G160" s="7">
        <v>178.57</v>
      </c>
      <c r="H160">
        <v>3</v>
      </c>
      <c r="I160" t="s">
        <v>38</v>
      </c>
      <c r="J160" t="s">
        <v>28</v>
      </c>
      <c r="K160" s="6"/>
      <c r="L160" s="7">
        <v>0</v>
      </c>
    </row>
    <row r="161" spans="1:12" x14ac:dyDescent="0.3">
      <c r="A161" t="s">
        <v>197</v>
      </c>
      <c r="B161" s="6">
        <v>45939</v>
      </c>
      <c r="C161" t="s">
        <v>24</v>
      </c>
      <c r="D161" t="s">
        <v>25</v>
      </c>
      <c r="E161" t="s">
        <v>41</v>
      </c>
      <c r="F161">
        <v>10</v>
      </c>
      <c r="G161" s="7">
        <v>48.62</v>
      </c>
      <c r="H161">
        <v>3</v>
      </c>
      <c r="I161" t="s">
        <v>27</v>
      </c>
      <c r="J161" t="s">
        <v>28</v>
      </c>
      <c r="K161" s="6"/>
      <c r="L161" s="7">
        <v>0</v>
      </c>
    </row>
    <row r="162" spans="1:12" x14ac:dyDescent="0.3">
      <c r="A162" t="s">
        <v>198</v>
      </c>
      <c r="B162" s="6">
        <v>46119</v>
      </c>
      <c r="C162" t="s">
        <v>30</v>
      </c>
      <c r="D162" t="s">
        <v>25</v>
      </c>
      <c r="E162" t="s">
        <v>33</v>
      </c>
      <c r="F162">
        <v>4</v>
      </c>
      <c r="G162" s="7">
        <v>38.17</v>
      </c>
      <c r="H162">
        <v>3</v>
      </c>
      <c r="I162" t="s">
        <v>35</v>
      </c>
      <c r="J162" t="s">
        <v>28</v>
      </c>
      <c r="K162" s="6"/>
      <c r="L162" s="7">
        <v>0</v>
      </c>
    </row>
    <row r="163" spans="1:12" x14ac:dyDescent="0.3">
      <c r="A163" t="s">
        <v>199</v>
      </c>
      <c r="B163" s="6">
        <v>45363</v>
      </c>
      <c r="C163" t="s">
        <v>32</v>
      </c>
      <c r="D163" t="s">
        <v>37</v>
      </c>
      <c r="E163" t="s">
        <v>33</v>
      </c>
      <c r="F163">
        <v>29</v>
      </c>
      <c r="G163" s="7">
        <v>119.87</v>
      </c>
      <c r="H163">
        <v>2</v>
      </c>
      <c r="I163" t="s">
        <v>38</v>
      </c>
      <c r="J163" t="s">
        <v>28</v>
      </c>
      <c r="K163" s="6"/>
      <c r="L163" s="7">
        <v>0</v>
      </c>
    </row>
    <row r="164" spans="1:12" x14ac:dyDescent="0.3">
      <c r="A164" t="s">
        <v>200</v>
      </c>
      <c r="B164" s="6">
        <v>45756</v>
      </c>
      <c r="C164" t="s">
        <v>32</v>
      </c>
      <c r="D164" t="s">
        <v>45</v>
      </c>
      <c r="E164" t="s">
        <v>41</v>
      </c>
      <c r="F164">
        <v>16</v>
      </c>
      <c r="G164" s="7">
        <v>197.69</v>
      </c>
      <c r="H164">
        <v>3</v>
      </c>
      <c r="I164" t="s">
        <v>38</v>
      </c>
      <c r="J164" t="s">
        <v>28</v>
      </c>
      <c r="K164" s="6"/>
      <c r="L164" s="7">
        <v>0</v>
      </c>
    </row>
    <row r="165" spans="1:12" x14ac:dyDescent="0.3">
      <c r="A165" t="s">
        <v>201</v>
      </c>
      <c r="B165" s="6">
        <v>45768</v>
      </c>
      <c r="C165" t="s">
        <v>43</v>
      </c>
      <c r="D165" t="s">
        <v>37</v>
      </c>
      <c r="E165" t="s">
        <v>41</v>
      </c>
      <c r="F165">
        <v>16</v>
      </c>
      <c r="G165" s="7">
        <v>99</v>
      </c>
      <c r="H165">
        <v>3</v>
      </c>
      <c r="I165" t="s">
        <v>35</v>
      </c>
      <c r="J165" t="s">
        <v>28</v>
      </c>
      <c r="K165" s="6"/>
      <c r="L165" s="7">
        <v>0</v>
      </c>
    </row>
    <row r="166" spans="1:12" x14ac:dyDescent="0.3">
      <c r="A166" t="s">
        <v>202</v>
      </c>
      <c r="B166" s="6">
        <v>45726</v>
      </c>
      <c r="C166" t="s">
        <v>32</v>
      </c>
      <c r="D166" t="s">
        <v>25</v>
      </c>
      <c r="E166" t="s">
        <v>41</v>
      </c>
      <c r="F166">
        <v>17</v>
      </c>
      <c r="G166" s="7">
        <v>53.78</v>
      </c>
      <c r="H166">
        <v>1</v>
      </c>
      <c r="I166" t="s">
        <v>38</v>
      </c>
      <c r="J166" t="s">
        <v>28</v>
      </c>
      <c r="K166" s="6"/>
      <c r="L166" s="7">
        <v>0</v>
      </c>
    </row>
    <row r="167" spans="1:12" x14ac:dyDescent="0.3">
      <c r="A167" t="s">
        <v>203</v>
      </c>
      <c r="B167" s="6">
        <v>45231</v>
      </c>
      <c r="C167" t="s">
        <v>30</v>
      </c>
      <c r="D167" t="s">
        <v>25</v>
      </c>
      <c r="E167" t="s">
        <v>26</v>
      </c>
      <c r="F167">
        <v>33</v>
      </c>
      <c r="G167" s="7">
        <v>43.88</v>
      </c>
      <c r="H167">
        <v>7</v>
      </c>
      <c r="I167" t="s">
        <v>27</v>
      </c>
      <c r="J167" t="s">
        <v>52</v>
      </c>
      <c r="K167" s="6">
        <v>45407</v>
      </c>
      <c r="L167" s="7">
        <v>43.88</v>
      </c>
    </row>
    <row r="168" spans="1:12" x14ac:dyDescent="0.3">
      <c r="A168" t="s">
        <v>204</v>
      </c>
      <c r="B168" s="6">
        <v>45516</v>
      </c>
      <c r="C168" t="s">
        <v>30</v>
      </c>
      <c r="D168" t="s">
        <v>25</v>
      </c>
      <c r="E168" t="s">
        <v>33</v>
      </c>
      <c r="F168">
        <v>24</v>
      </c>
      <c r="G168" s="7">
        <v>60.94</v>
      </c>
      <c r="H168">
        <v>5</v>
      </c>
      <c r="I168" t="s">
        <v>27</v>
      </c>
      <c r="J168" t="s">
        <v>28</v>
      </c>
      <c r="K168" s="6"/>
      <c r="L168" s="7">
        <v>0</v>
      </c>
    </row>
    <row r="169" spans="1:12" x14ac:dyDescent="0.3">
      <c r="A169" t="s">
        <v>205</v>
      </c>
      <c r="B169" s="6">
        <v>45763</v>
      </c>
      <c r="C169" t="s">
        <v>30</v>
      </c>
      <c r="D169" t="s">
        <v>45</v>
      </c>
      <c r="E169" t="s">
        <v>41</v>
      </c>
      <c r="F169">
        <v>16</v>
      </c>
      <c r="G169" s="7">
        <v>249.75</v>
      </c>
      <c r="H169">
        <v>7</v>
      </c>
      <c r="I169" t="s">
        <v>27</v>
      </c>
      <c r="J169" t="s">
        <v>28</v>
      </c>
      <c r="K169" s="6"/>
      <c r="L169" s="7">
        <v>0</v>
      </c>
    </row>
    <row r="170" spans="1:12" x14ac:dyDescent="0.3">
      <c r="A170" t="s">
        <v>206</v>
      </c>
      <c r="B170" s="6">
        <v>45060</v>
      </c>
      <c r="C170" t="s">
        <v>30</v>
      </c>
      <c r="D170" t="s">
        <v>25</v>
      </c>
      <c r="E170" t="s">
        <v>41</v>
      </c>
      <c r="F170">
        <v>39</v>
      </c>
      <c r="G170" s="7">
        <v>53.55</v>
      </c>
      <c r="H170">
        <v>0</v>
      </c>
      <c r="I170" t="s">
        <v>27</v>
      </c>
      <c r="J170" t="s">
        <v>28</v>
      </c>
      <c r="K170" s="6"/>
      <c r="L170" s="7">
        <v>0</v>
      </c>
    </row>
    <row r="171" spans="1:12" x14ac:dyDescent="0.3">
      <c r="A171" t="s">
        <v>207</v>
      </c>
      <c r="B171" s="6">
        <v>46071</v>
      </c>
      <c r="C171" t="s">
        <v>24</v>
      </c>
      <c r="D171" t="s">
        <v>25</v>
      </c>
      <c r="E171" t="s">
        <v>26</v>
      </c>
      <c r="F171">
        <v>6</v>
      </c>
      <c r="G171" s="7">
        <v>50.74</v>
      </c>
      <c r="H171">
        <v>3</v>
      </c>
      <c r="I171" t="s">
        <v>35</v>
      </c>
      <c r="J171" t="s">
        <v>28</v>
      </c>
      <c r="K171" s="6"/>
      <c r="L171" s="7">
        <v>0</v>
      </c>
    </row>
    <row r="172" spans="1:12" x14ac:dyDescent="0.3">
      <c r="A172" t="s">
        <v>208</v>
      </c>
      <c r="B172" s="6">
        <v>45881</v>
      </c>
      <c r="C172" t="s">
        <v>32</v>
      </c>
      <c r="D172" t="s">
        <v>37</v>
      </c>
      <c r="E172" t="s">
        <v>33</v>
      </c>
      <c r="F172">
        <v>12</v>
      </c>
      <c r="G172" s="7">
        <v>114.58</v>
      </c>
      <c r="H172">
        <v>4</v>
      </c>
      <c r="I172" t="s">
        <v>27</v>
      </c>
      <c r="J172" t="s">
        <v>28</v>
      </c>
      <c r="K172" s="6"/>
      <c r="L172" s="7">
        <v>0</v>
      </c>
    </row>
    <row r="173" spans="1:12" x14ac:dyDescent="0.3">
      <c r="A173" t="s">
        <v>209</v>
      </c>
      <c r="B173" s="6">
        <v>45254</v>
      </c>
      <c r="C173" t="s">
        <v>43</v>
      </c>
      <c r="D173" t="s">
        <v>25</v>
      </c>
      <c r="E173" t="s">
        <v>41</v>
      </c>
      <c r="F173">
        <v>33</v>
      </c>
      <c r="G173" s="7">
        <v>51.27</v>
      </c>
      <c r="H173">
        <v>5</v>
      </c>
      <c r="I173" t="s">
        <v>27</v>
      </c>
      <c r="J173" t="s">
        <v>28</v>
      </c>
      <c r="K173" s="6"/>
      <c r="L173" s="7">
        <v>0</v>
      </c>
    </row>
    <row r="174" spans="1:12" x14ac:dyDescent="0.3">
      <c r="A174" t="s">
        <v>210</v>
      </c>
      <c r="B174" s="6">
        <v>45640</v>
      </c>
      <c r="C174" t="s">
        <v>30</v>
      </c>
      <c r="D174" t="s">
        <v>37</v>
      </c>
      <c r="E174" t="s">
        <v>41</v>
      </c>
      <c r="F174">
        <v>20</v>
      </c>
      <c r="G174" s="7">
        <v>113.52</v>
      </c>
      <c r="H174">
        <v>1</v>
      </c>
      <c r="I174" t="s">
        <v>27</v>
      </c>
      <c r="J174" t="s">
        <v>28</v>
      </c>
      <c r="K174" s="6"/>
      <c r="L174" s="7">
        <v>0</v>
      </c>
    </row>
    <row r="175" spans="1:12" x14ac:dyDescent="0.3">
      <c r="A175" t="s">
        <v>211</v>
      </c>
      <c r="B175" s="6">
        <v>45849</v>
      </c>
      <c r="C175" t="s">
        <v>32</v>
      </c>
      <c r="D175" t="s">
        <v>37</v>
      </c>
      <c r="E175" t="s">
        <v>26</v>
      </c>
      <c r="F175">
        <v>13</v>
      </c>
      <c r="G175" s="7">
        <v>124.08</v>
      </c>
      <c r="H175">
        <v>6</v>
      </c>
      <c r="I175" t="s">
        <v>38</v>
      </c>
      <c r="J175" t="s">
        <v>28</v>
      </c>
      <c r="K175" s="6"/>
      <c r="L175" s="7">
        <v>0</v>
      </c>
    </row>
    <row r="176" spans="1:12" x14ac:dyDescent="0.3">
      <c r="A176" t="s">
        <v>212</v>
      </c>
      <c r="B176" s="6">
        <v>46098</v>
      </c>
      <c r="C176" t="s">
        <v>43</v>
      </c>
      <c r="D176" t="s">
        <v>45</v>
      </c>
      <c r="E176" t="s">
        <v>41</v>
      </c>
      <c r="F176">
        <v>5</v>
      </c>
      <c r="G176" s="7">
        <v>169.64</v>
      </c>
      <c r="H176">
        <v>2</v>
      </c>
      <c r="I176" t="s">
        <v>38</v>
      </c>
      <c r="J176" t="s">
        <v>52</v>
      </c>
      <c r="K176" s="6">
        <v>46219</v>
      </c>
      <c r="L176" s="7">
        <v>169.64</v>
      </c>
    </row>
    <row r="177" spans="1:12" x14ac:dyDescent="0.3">
      <c r="A177" t="s">
        <v>213</v>
      </c>
      <c r="B177" s="6">
        <v>45586</v>
      </c>
      <c r="C177" t="s">
        <v>24</v>
      </c>
      <c r="D177" t="s">
        <v>25</v>
      </c>
      <c r="E177" t="s">
        <v>41</v>
      </c>
      <c r="F177">
        <v>22</v>
      </c>
      <c r="G177" s="7">
        <v>53.46</v>
      </c>
      <c r="H177">
        <v>3</v>
      </c>
      <c r="I177" t="s">
        <v>35</v>
      </c>
      <c r="J177" t="s">
        <v>28</v>
      </c>
      <c r="K177" s="6"/>
      <c r="L177" s="7">
        <v>0</v>
      </c>
    </row>
    <row r="178" spans="1:12" x14ac:dyDescent="0.3">
      <c r="A178" t="s">
        <v>214</v>
      </c>
      <c r="B178" s="6">
        <v>45117</v>
      </c>
      <c r="C178" t="s">
        <v>24</v>
      </c>
      <c r="D178" t="s">
        <v>25</v>
      </c>
      <c r="E178" t="s">
        <v>41</v>
      </c>
      <c r="F178">
        <v>37</v>
      </c>
      <c r="G178" s="7">
        <v>61.89</v>
      </c>
      <c r="H178">
        <v>0</v>
      </c>
      <c r="I178" t="s">
        <v>35</v>
      </c>
      <c r="J178" t="s">
        <v>52</v>
      </c>
      <c r="K178" s="6">
        <v>46172</v>
      </c>
      <c r="L178" s="7">
        <v>61.89</v>
      </c>
    </row>
    <row r="179" spans="1:12" x14ac:dyDescent="0.3">
      <c r="A179" t="s">
        <v>215</v>
      </c>
      <c r="B179" s="6">
        <v>46147</v>
      </c>
      <c r="C179" t="s">
        <v>24</v>
      </c>
      <c r="D179" t="s">
        <v>25</v>
      </c>
      <c r="E179" t="s">
        <v>41</v>
      </c>
      <c r="F179">
        <v>3</v>
      </c>
      <c r="G179" s="7">
        <v>55.96</v>
      </c>
      <c r="H179">
        <v>4</v>
      </c>
      <c r="I179" t="s">
        <v>27</v>
      </c>
      <c r="J179" t="s">
        <v>28</v>
      </c>
      <c r="K179" s="6"/>
      <c r="L179" s="7">
        <v>0</v>
      </c>
    </row>
    <row r="180" spans="1:12" x14ac:dyDescent="0.3">
      <c r="A180" t="s">
        <v>216</v>
      </c>
      <c r="B180" s="6">
        <v>45236</v>
      </c>
      <c r="C180" t="s">
        <v>24</v>
      </c>
      <c r="D180" t="s">
        <v>37</v>
      </c>
      <c r="E180" t="s">
        <v>26</v>
      </c>
      <c r="F180">
        <v>33</v>
      </c>
      <c r="G180" s="7">
        <v>129.59</v>
      </c>
      <c r="H180">
        <v>2</v>
      </c>
      <c r="I180" t="s">
        <v>38</v>
      </c>
      <c r="J180" t="s">
        <v>28</v>
      </c>
      <c r="K180" s="6"/>
      <c r="L180" s="7">
        <v>0</v>
      </c>
    </row>
    <row r="181" spans="1:12" x14ac:dyDescent="0.3">
      <c r="A181" t="s">
        <v>217</v>
      </c>
      <c r="B181" s="6">
        <v>45783</v>
      </c>
      <c r="C181" t="s">
        <v>32</v>
      </c>
      <c r="D181" t="s">
        <v>25</v>
      </c>
      <c r="E181" t="s">
        <v>41</v>
      </c>
      <c r="F181">
        <v>15</v>
      </c>
      <c r="G181" s="7">
        <v>49.57</v>
      </c>
      <c r="H181">
        <v>1</v>
      </c>
      <c r="I181" t="s">
        <v>27</v>
      </c>
      <c r="J181" t="s">
        <v>28</v>
      </c>
      <c r="K181" s="6"/>
      <c r="L181" s="7">
        <v>0</v>
      </c>
    </row>
    <row r="182" spans="1:12" x14ac:dyDescent="0.3">
      <c r="A182" t="s">
        <v>218</v>
      </c>
      <c r="B182" s="6">
        <v>46159</v>
      </c>
      <c r="C182" t="s">
        <v>24</v>
      </c>
      <c r="D182" t="s">
        <v>25</v>
      </c>
      <c r="E182" t="s">
        <v>26</v>
      </c>
      <c r="F182">
        <v>3</v>
      </c>
      <c r="G182" s="7">
        <v>49.26</v>
      </c>
      <c r="H182">
        <v>2</v>
      </c>
      <c r="I182" t="s">
        <v>38</v>
      </c>
      <c r="J182" t="s">
        <v>52</v>
      </c>
      <c r="K182" s="6">
        <v>46232</v>
      </c>
      <c r="L182" s="7">
        <v>49.26</v>
      </c>
    </row>
    <row r="183" spans="1:12" x14ac:dyDescent="0.3">
      <c r="A183" t="s">
        <v>219</v>
      </c>
      <c r="B183" s="6">
        <v>45529</v>
      </c>
      <c r="C183" t="s">
        <v>32</v>
      </c>
      <c r="D183" t="s">
        <v>45</v>
      </c>
      <c r="E183" t="s">
        <v>41</v>
      </c>
      <c r="F183">
        <v>24</v>
      </c>
      <c r="G183" s="7">
        <v>225.21</v>
      </c>
      <c r="H183">
        <v>1</v>
      </c>
      <c r="I183" t="s">
        <v>27</v>
      </c>
      <c r="J183" t="s">
        <v>28</v>
      </c>
      <c r="K183" s="6"/>
      <c r="L183" s="7">
        <v>0</v>
      </c>
    </row>
    <row r="184" spans="1:12" x14ac:dyDescent="0.3">
      <c r="A184" t="s">
        <v>220</v>
      </c>
      <c r="B184" s="6">
        <v>45108</v>
      </c>
      <c r="C184" t="s">
        <v>24</v>
      </c>
      <c r="D184" t="s">
        <v>45</v>
      </c>
      <c r="E184" t="s">
        <v>26</v>
      </c>
      <c r="F184">
        <v>37</v>
      </c>
      <c r="G184" s="7">
        <v>268.32</v>
      </c>
      <c r="H184">
        <v>4</v>
      </c>
      <c r="I184" t="s">
        <v>38</v>
      </c>
      <c r="J184" t="s">
        <v>28</v>
      </c>
      <c r="K184" s="6"/>
      <c r="L184" s="7">
        <v>0</v>
      </c>
    </row>
    <row r="185" spans="1:12" x14ac:dyDescent="0.3">
      <c r="A185" t="s">
        <v>221</v>
      </c>
      <c r="B185" s="6">
        <v>45070</v>
      </c>
      <c r="C185" t="s">
        <v>30</v>
      </c>
      <c r="D185" t="s">
        <v>37</v>
      </c>
      <c r="E185" t="s">
        <v>26</v>
      </c>
      <c r="F185">
        <v>39</v>
      </c>
      <c r="G185" s="7">
        <v>83.81</v>
      </c>
      <c r="H185">
        <v>2</v>
      </c>
      <c r="I185" t="s">
        <v>35</v>
      </c>
      <c r="J185" t="s">
        <v>52</v>
      </c>
      <c r="K185" s="6">
        <v>45396</v>
      </c>
      <c r="L185" s="7">
        <v>83.81</v>
      </c>
    </row>
    <row r="186" spans="1:12" x14ac:dyDescent="0.3">
      <c r="A186" t="s">
        <v>222</v>
      </c>
      <c r="B186" s="6">
        <v>45067</v>
      </c>
      <c r="C186" t="s">
        <v>32</v>
      </c>
      <c r="D186" t="s">
        <v>37</v>
      </c>
      <c r="E186" t="s">
        <v>26</v>
      </c>
      <c r="F186">
        <v>39</v>
      </c>
      <c r="G186" s="7">
        <v>128.07</v>
      </c>
      <c r="H186">
        <v>4</v>
      </c>
      <c r="I186" t="s">
        <v>27</v>
      </c>
      <c r="J186" t="s">
        <v>52</v>
      </c>
      <c r="K186" s="6">
        <v>45221</v>
      </c>
      <c r="L186" s="7">
        <v>128.07</v>
      </c>
    </row>
    <row r="187" spans="1:12" x14ac:dyDescent="0.3">
      <c r="A187" t="s">
        <v>223</v>
      </c>
      <c r="B187" s="6">
        <v>45117</v>
      </c>
      <c r="C187" t="s">
        <v>43</v>
      </c>
      <c r="D187" t="s">
        <v>45</v>
      </c>
      <c r="E187" t="s">
        <v>26</v>
      </c>
      <c r="F187">
        <v>37</v>
      </c>
      <c r="G187" s="7">
        <v>264.67</v>
      </c>
      <c r="H187">
        <v>3</v>
      </c>
      <c r="I187" t="s">
        <v>35</v>
      </c>
      <c r="J187" t="s">
        <v>28</v>
      </c>
      <c r="K187" s="6"/>
      <c r="L187" s="7">
        <v>0</v>
      </c>
    </row>
    <row r="188" spans="1:12" x14ac:dyDescent="0.3">
      <c r="A188" t="s">
        <v>224</v>
      </c>
      <c r="B188" s="6">
        <v>45089</v>
      </c>
      <c r="C188" t="s">
        <v>32</v>
      </c>
      <c r="D188" t="s">
        <v>37</v>
      </c>
      <c r="E188" t="s">
        <v>26</v>
      </c>
      <c r="F188">
        <v>38</v>
      </c>
      <c r="G188" s="7">
        <v>81.13</v>
      </c>
      <c r="H188">
        <v>4</v>
      </c>
      <c r="I188" t="s">
        <v>35</v>
      </c>
      <c r="J188" t="s">
        <v>28</v>
      </c>
      <c r="K188" s="6"/>
      <c r="L188" s="7">
        <v>0</v>
      </c>
    </row>
    <row r="189" spans="1:12" x14ac:dyDescent="0.3">
      <c r="A189" t="s">
        <v>225</v>
      </c>
      <c r="B189" s="6">
        <v>46125</v>
      </c>
      <c r="C189" t="s">
        <v>32</v>
      </c>
      <c r="D189" t="s">
        <v>37</v>
      </c>
      <c r="E189" t="s">
        <v>26</v>
      </c>
      <c r="F189">
        <v>4</v>
      </c>
      <c r="G189" s="7">
        <v>107.71</v>
      </c>
      <c r="H189">
        <v>1</v>
      </c>
      <c r="I189" t="s">
        <v>27</v>
      </c>
      <c r="J189" t="s">
        <v>28</v>
      </c>
      <c r="K189" s="6"/>
      <c r="L189" s="7">
        <v>0</v>
      </c>
    </row>
    <row r="190" spans="1:12" x14ac:dyDescent="0.3">
      <c r="A190" t="s">
        <v>226</v>
      </c>
      <c r="B190" s="6">
        <v>45954</v>
      </c>
      <c r="C190" t="s">
        <v>24</v>
      </c>
      <c r="D190" t="s">
        <v>25</v>
      </c>
      <c r="E190" t="s">
        <v>26</v>
      </c>
      <c r="F190">
        <v>10</v>
      </c>
      <c r="G190" s="7">
        <v>45.72</v>
      </c>
      <c r="H190">
        <v>0</v>
      </c>
      <c r="I190" t="s">
        <v>35</v>
      </c>
      <c r="J190" t="s">
        <v>28</v>
      </c>
      <c r="K190" s="6"/>
      <c r="L190" s="7">
        <v>0</v>
      </c>
    </row>
    <row r="191" spans="1:12" x14ac:dyDescent="0.3">
      <c r="A191" t="s">
        <v>227</v>
      </c>
      <c r="B191" s="6">
        <v>46167</v>
      </c>
      <c r="C191" t="s">
        <v>30</v>
      </c>
      <c r="D191" t="s">
        <v>37</v>
      </c>
      <c r="E191" t="s">
        <v>41</v>
      </c>
      <c r="F191">
        <v>3</v>
      </c>
      <c r="G191" s="7">
        <v>72.11</v>
      </c>
      <c r="H191">
        <v>5</v>
      </c>
      <c r="I191" t="s">
        <v>27</v>
      </c>
      <c r="J191" t="s">
        <v>52</v>
      </c>
      <c r="K191" s="6">
        <v>46224</v>
      </c>
      <c r="L191" s="7">
        <v>72.11</v>
      </c>
    </row>
    <row r="192" spans="1:12" x14ac:dyDescent="0.3">
      <c r="A192" t="s">
        <v>228</v>
      </c>
      <c r="B192" s="6">
        <v>45051</v>
      </c>
      <c r="C192" t="s">
        <v>30</v>
      </c>
      <c r="D192" t="s">
        <v>37</v>
      </c>
      <c r="E192" t="s">
        <v>33</v>
      </c>
      <c r="F192">
        <v>39</v>
      </c>
      <c r="G192" s="7">
        <v>122.23</v>
      </c>
      <c r="H192">
        <v>0</v>
      </c>
      <c r="I192" t="s">
        <v>35</v>
      </c>
      <c r="J192" t="s">
        <v>28</v>
      </c>
      <c r="K192" s="6"/>
      <c r="L192" s="7">
        <v>0</v>
      </c>
    </row>
    <row r="193" spans="1:12" x14ac:dyDescent="0.3">
      <c r="A193" t="s">
        <v>229</v>
      </c>
      <c r="B193" s="6">
        <v>45187</v>
      </c>
      <c r="C193" t="s">
        <v>32</v>
      </c>
      <c r="D193" t="s">
        <v>37</v>
      </c>
      <c r="E193" t="s">
        <v>41</v>
      </c>
      <c r="F193">
        <v>35</v>
      </c>
      <c r="G193" s="7">
        <v>119.26</v>
      </c>
      <c r="H193">
        <v>2</v>
      </c>
      <c r="I193" t="s">
        <v>27</v>
      </c>
      <c r="J193" t="s">
        <v>28</v>
      </c>
      <c r="K193" s="6"/>
      <c r="L193" s="7">
        <v>0</v>
      </c>
    </row>
    <row r="194" spans="1:12" x14ac:dyDescent="0.3">
      <c r="A194" t="s">
        <v>230</v>
      </c>
      <c r="B194" s="6">
        <v>45932</v>
      </c>
      <c r="C194" t="s">
        <v>32</v>
      </c>
      <c r="D194" t="s">
        <v>37</v>
      </c>
      <c r="E194" t="s">
        <v>26</v>
      </c>
      <c r="F194">
        <v>10</v>
      </c>
      <c r="G194" s="7">
        <v>130.34</v>
      </c>
      <c r="H194">
        <v>3</v>
      </c>
      <c r="I194" t="s">
        <v>35</v>
      </c>
      <c r="J194" t="s">
        <v>28</v>
      </c>
      <c r="K194" s="6"/>
      <c r="L194" s="7">
        <v>0</v>
      </c>
    </row>
    <row r="195" spans="1:12" x14ac:dyDescent="0.3">
      <c r="A195" t="s">
        <v>231</v>
      </c>
      <c r="B195" s="6">
        <v>45195</v>
      </c>
      <c r="C195" t="s">
        <v>43</v>
      </c>
      <c r="D195" t="s">
        <v>25</v>
      </c>
      <c r="E195" t="s">
        <v>41</v>
      </c>
      <c r="F195">
        <v>35</v>
      </c>
      <c r="G195" s="7">
        <v>54.26</v>
      </c>
      <c r="H195">
        <v>3</v>
      </c>
      <c r="I195" t="s">
        <v>35</v>
      </c>
      <c r="J195" t="s">
        <v>28</v>
      </c>
      <c r="K195" s="6"/>
      <c r="L195" s="7">
        <v>0</v>
      </c>
    </row>
    <row r="196" spans="1:12" x14ac:dyDescent="0.3">
      <c r="A196" t="s">
        <v>232</v>
      </c>
      <c r="B196" s="6">
        <v>45886</v>
      </c>
      <c r="C196" t="s">
        <v>30</v>
      </c>
      <c r="D196" t="s">
        <v>25</v>
      </c>
      <c r="E196" t="s">
        <v>41</v>
      </c>
      <c r="F196">
        <v>12</v>
      </c>
      <c r="G196" s="7">
        <v>38.9</v>
      </c>
      <c r="H196">
        <v>4</v>
      </c>
      <c r="I196" t="s">
        <v>38</v>
      </c>
      <c r="J196" t="s">
        <v>28</v>
      </c>
      <c r="K196" s="6"/>
      <c r="L196" s="7">
        <v>0</v>
      </c>
    </row>
    <row r="197" spans="1:12" x14ac:dyDescent="0.3">
      <c r="A197" t="s">
        <v>233</v>
      </c>
      <c r="B197" s="6">
        <v>46220</v>
      </c>
      <c r="C197" t="s">
        <v>30</v>
      </c>
      <c r="D197" t="s">
        <v>25</v>
      </c>
      <c r="E197" t="s">
        <v>41</v>
      </c>
      <c r="F197">
        <v>1</v>
      </c>
      <c r="G197" s="7">
        <v>67.41</v>
      </c>
      <c r="H197">
        <v>1</v>
      </c>
      <c r="I197" t="s">
        <v>27</v>
      </c>
      <c r="J197" t="s">
        <v>28</v>
      </c>
      <c r="K197" s="6"/>
      <c r="L197" s="7">
        <v>0</v>
      </c>
    </row>
    <row r="198" spans="1:12" x14ac:dyDescent="0.3">
      <c r="A198" t="s">
        <v>234</v>
      </c>
      <c r="B198" s="6">
        <v>45976</v>
      </c>
      <c r="C198" t="s">
        <v>24</v>
      </c>
      <c r="D198" t="s">
        <v>25</v>
      </c>
      <c r="E198" t="s">
        <v>41</v>
      </c>
      <c r="F198">
        <v>9</v>
      </c>
      <c r="G198" s="7">
        <v>36.96</v>
      </c>
      <c r="H198">
        <v>2</v>
      </c>
      <c r="I198" t="s">
        <v>35</v>
      </c>
      <c r="J198" t="s">
        <v>52</v>
      </c>
      <c r="K198" s="6">
        <v>46058</v>
      </c>
      <c r="L198" s="7">
        <v>36.96</v>
      </c>
    </row>
    <row r="199" spans="1:12" x14ac:dyDescent="0.3">
      <c r="A199" t="s">
        <v>235</v>
      </c>
      <c r="B199" s="6">
        <v>46161</v>
      </c>
      <c r="C199" t="s">
        <v>30</v>
      </c>
      <c r="D199" t="s">
        <v>37</v>
      </c>
      <c r="E199" t="s">
        <v>33</v>
      </c>
      <c r="F199">
        <v>3</v>
      </c>
      <c r="G199" s="7">
        <v>89.63</v>
      </c>
      <c r="H199">
        <v>6</v>
      </c>
      <c r="I199" t="s">
        <v>35</v>
      </c>
      <c r="J199" t="s">
        <v>52</v>
      </c>
      <c r="K199" s="6">
        <v>46219</v>
      </c>
      <c r="L199" s="7">
        <v>89.63</v>
      </c>
    </row>
    <row r="200" spans="1:12" x14ac:dyDescent="0.3">
      <c r="A200" t="s">
        <v>236</v>
      </c>
      <c r="B200" s="6">
        <v>45414</v>
      </c>
      <c r="C200" t="s">
        <v>43</v>
      </c>
      <c r="D200" t="s">
        <v>25</v>
      </c>
      <c r="E200" t="s">
        <v>33</v>
      </c>
      <c r="F200">
        <v>27</v>
      </c>
      <c r="G200" s="7">
        <v>47.91</v>
      </c>
      <c r="H200">
        <v>4</v>
      </c>
      <c r="I200" t="s">
        <v>35</v>
      </c>
      <c r="J200" t="s">
        <v>28</v>
      </c>
      <c r="K200" s="6"/>
      <c r="L200" s="7">
        <v>0</v>
      </c>
    </row>
    <row r="201" spans="1:12" x14ac:dyDescent="0.3">
      <c r="A201" t="s">
        <v>237</v>
      </c>
      <c r="B201" s="6">
        <v>46115</v>
      </c>
      <c r="C201" t="s">
        <v>32</v>
      </c>
      <c r="D201" t="s">
        <v>25</v>
      </c>
      <c r="E201" t="s">
        <v>26</v>
      </c>
      <c r="F201">
        <v>4</v>
      </c>
      <c r="G201" s="7">
        <v>38.83</v>
      </c>
      <c r="H201">
        <v>3</v>
      </c>
      <c r="I201" t="s">
        <v>27</v>
      </c>
      <c r="J201" t="s">
        <v>28</v>
      </c>
      <c r="K201" s="6"/>
      <c r="L201" s="7">
        <v>0</v>
      </c>
    </row>
    <row r="202" spans="1:12" x14ac:dyDescent="0.3">
      <c r="A202" t="s">
        <v>238</v>
      </c>
      <c r="B202" s="6">
        <v>45247</v>
      </c>
      <c r="C202" t="s">
        <v>32</v>
      </c>
      <c r="D202" t="s">
        <v>25</v>
      </c>
      <c r="E202" t="s">
        <v>41</v>
      </c>
      <c r="F202">
        <v>33</v>
      </c>
      <c r="G202" s="7">
        <v>41.03</v>
      </c>
      <c r="H202">
        <v>9</v>
      </c>
      <c r="I202" t="s">
        <v>38</v>
      </c>
      <c r="J202" t="s">
        <v>52</v>
      </c>
      <c r="K202" s="6">
        <v>45316</v>
      </c>
      <c r="L202" s="7">
        <v>41.03</v>
      </c>
    </row>
    <row r="203" spans="1:12" x14ac:dyDescent="0.3">
      <c r="A203" t="s">
        <v>239</v>
      </c>
      <c r="B203" s="6">
        <v>45675</v>
      </c>
      <c r="C203" t="s">
        <v>24</v>
      </c>
      <c r="D203" t="s">
        <v>25</v>
      </c>
      <c r="E203" t="s">
        <v>41</v>
      </c>
      <c r="F203">
        <v>19</v>
      </c>
      <c r="G203" s="7">
        <v>52.17</v>
      </c>
      <c r="H203">
        <v>2</v>
      </c>
      <c r="I203" t="s">
        <v>38</v>
      </c>
      <c r="J203" t="s">
        <v>28</v>
      </c>
      <c r="K203" s="6"/>
      <c r="L203" s="7">
        <v>0</v>
      </c>
    </row>
    <row r="204" spans="1:12" x14ac:dyDescent="0.3">
      <c r="A204" t="s">
        <v>240</v>
      </c>
      <c r="B204" s="6">
        <v>44962</v>
      </c>
      <c r="C204" t="s">
        <v>43</v>
      </c>
      <c r="D204" t="s">
        <v>25</v>
      </c>
      <c r="E204" t="s">
        <v>33</v>
      </c>
      <c r="F204">
        <v>42</v>
      </c>
      <c r="G204" s="7">
        <v>57.32</v>
      </c>
      <c r="H204">
        <v>2</v>
      </c>
      <c r="I204" t="s">
        <v>27</v>
      </c>
      <c r="J204" t="s">
        <v>28</v>
      </c>
      <c r="K204" s="6"/>
      <c r="L204" s="7">
        <v>0</v>
      </c>
    </row>
    <row r="205" spans="1:12" x14ac:dyDescent="0.3">
      <c r="A205" t="s">
        <v>241</v>
      </c>
      <c r="B205" s="6">
        <v>46093</v>
      </c>
      <c r="C205" t="s">
        <v>43</v>
      </c>
      <c r="D205" t="s">
        <v>37</v>
      </c>
      <c r="E205" t="s">
        <v>41</v>
      </c>
      <c r="F205">
        <v>5</v>
      </c>
      <c r="G205" s="7">
        <v>102.32</v>
      </c>
      <c r="H205">
        <v>6</v>
      </c>
      <c r="I205" t="s">
        <v>27</v>
      </c>
      <c r="J205" t="s">
        <v>52</v>
      </c>
      <c r="K205" s="6">
        <v>46153</v>
      </c>
      <c r="L205" s="7">
        <v>102.32</v>
      </c>
    </row>
    <row r="206" spans="1:12" x14ac:dyDescent="0.3">
      <c r="A206" t="s">
        <v>242</v>
      </c>
      <c r="B206" s="6">
        <v>45161</v>
      </c>
      <c r="C206" t="s">
        <v>30</v>
      </c>
      <c r="D206" t="s">
        <v>25</v>
      </c>
      <c r="E206" t="s">
        <v>41</v>
      </c>
      <c r="F206">
        <v>36</v>
      </c>
      <c r="G206" s="7">
        <v>62.23</v>
      </c>
      <c r="H206">
        <v>5</v>
      </c>
      <c r="I206" t="s">
        <v>35</v>
      </c>
      <c r="J206" t="s">
        <v>28</v>
      </c>
      <c r="K206" s="6"/>
      <c r="L206" s="7">
        <v>0</v>
      </c>
    </row>
    <row r="207" spans="1:12" x14ac:dyDescent="0.3">
      <c r="A207" t="s">
        <v>243</v>
      </c>
      <c r="B207" s="6">
        <v>45508</v>
      </c>
      <c r="C207" t="s">
        <v>32</v>
      </c>
      <c r="D207" t="s">
        <v>25</v>
      </c>
      <c r="E207" t="s">
        <v>26</v>
      </c>
      <c r="F207">
        <v>24</v>
      </c>
      <c r="G207" s="7">
        <v>50.25</v>
      </c>
      <c r="H207">
        <v>4</v>
      </c>
      <c r="I207" t="s">
        <v>27</v>
      </c>
      <c r="J207" t="s">
        <v>28</v>
      </c>
      <c r="K207" s="6"/>
      <c r="L207" s="7">
        <v>0</v>
      </c>
    </row>
    <row r="208" spans="1:12" x14ac:dyDescent="0.3">
      <c r="A208" t="s">
        <v>244</v>
      </c>
      <c r="B208" s="6">
        <v>46043</v>
      </c>
      <c r="C208" t="s">
        <v>43</v>
      </c>
      <c r="D208" t="s">
        <v>25</v>
      </c>
      <c r="E208" t="s">
        <v>41</v>
      </c>
      <c r="F208">
        <v>7</v>
      </c>
      <c r="G208" s="7">
        <v>59.19</v>
      </c>
      <c r="H208">
        <v>4</v>
      </c>
      <c r="I208" t="s">
        <v>38</v>
      </c>
      <c r="J208" t="s">
        <v>28</v>
      </c>
      <c r="K208" s="6"/>
      <c r="L208" s="7">
        <v>0</v>
      </c>
    </row>
    <row r="209" spans="1:12" x14ac:dyDescent="0.3">
      <c r="A209" t="s">
        <v>245</v>
      </c>
      <c r="B209" s="6">
        <v>45426</v>
      </c>
      <c r="C209" t="s">
        <v>32</v>
      </c>
      <c r="D209" t="s">
        <v>25</v>
      </c>
      <c r="E209" t="s">
        <v>41</v>
      </c>
      <c r="F209">
        <v>27</v>
      </c>
      <c r="G209" s="7">
        <v>44.54</v>
      </c>
      <c r="H209">
        <v>5</v>
      </c>
      <c r="I209" t="s">
        <v>38</v>
      </c>
      <c r="J209" t="s">
        <v>28</v>
      </c>
      <c r="K209" s="6"/>
      <c r="L209" s="7">
        <v>0</v>
      </c>
    </row>
    <row r="210" spans="1:12" x14ac:dyDescent="0.3">
      <c r="A210" t="s">
        <v>246</v>
      </c>
      <c r="B210" s="6">
        <v>45428</v>
      </c>
      <c r="C210" t="s">
        <v>24</v>
      </c>
      <c r="D210" t="s">
        <v>37</v>
      </c>
      <c r="E210" t="s">
        <v>41</v>
      </c>
      <c r="F210">
        <v>27</v>
      </c>
      <c r="G210" s="7">
        <v>102.39</v>
      </c>
      <c r="H210">
        <v>4</v>
      </c>
      <c r="I210" t="s">
        <v>35</v>
      </c>
      <c r="J210" t="s">
        <v>28</v>
      </c>
      <c r="K210" s="6"/>
      <c r="L210" s="7">
        <v>0</v>
      </c>
    </row>
    <row r="211" spans="1:12" x14ac:dyDescent="0.3">
      <c r="A211" t="s">
        <v>247</v>
      </c>
      <c r="B211" s="6">
        <v>45551</v>
      </c>
      <c r="C211" t="s">
        <v>43</v>
      </c>
      <c r="D211" t="s">
        <v>25</v>
      </c>
      <c r="E211" t="s">
        <v>41</v>
      </c>
      <c r="F211">
        <v>23</v>
      </c>
      <c r="G211" s="7">
        <v>42.35</v>
      </c>
      <c r="H211">
        <v>5</v>
      </c>
      <c r="I211" t="s">
        <v>38</v>
      </c>
      <c r="J211" t="s">
        <v>28</v>
      </c>
      <c r="K211" s="6"/>
      <c r="L211" s="7">
        <v>0</v>
      </c>
    </row>
    <row r="212" spans="1:12" x14ac:dyDescent="0.3">
      <c r="A212" t="s">
        <v>248</v>
      </c>
      <c r="B212" s="6">
        <v>45386</v>
      </c>
      <c r="C212" t="s">
        <v>32</v>
      </c>
      <c r="D212" t="s">
        <v>37</v>
      </c>
      <c r="E212" t="s">
        <v>41</v>
      </c>
      <c r="F212">
        <v>28</v>
      </c>
      <c r="G212" s="7">
        <v>82.22</v>
      </c>
      <c r="H212">
        <v>6</v>
      </c>
      <c r="I212" t="s">
        <v>27</v>
      </c>
      <c r="J212" t="s">
        <v>52</v>
      </c>
      <c r="K212" s="6">
        <v>46071</v>
      </c>
      <c r="L212" s="7">
        <v>82.22</v>
      </c>
    </row>
    <row r="213" spans="1:12" x14ac:dyDescent="0.3">
      <c r="A213" t="s">
        <v>249</v>
      </c>
      <c r="B213" s="6">
        <v>46220</v>
      </c>
      <c r="C213" t="s">
        <v>43</v>
      </c>
      <c r="D213" t="s">
        <v>45</v>
      </c>
      <c r="E213" t="s">
        <v>41</v>
      </c>
      <c r="F213">
        <v>1</v>
      </c>
      <c r="G213" s="7">
        <v>144.24</v>
      </c>
      <c r="H213">
        <v>0</v>
      </c>
      <c r="I213" t="s">
        <v>35</v>
      </c>
      <c r="J213" t="s">
        <v>28</v>
      </c>
      <c r="K213" s="6"/>
      <c r="L213" s="7">
        <v>0</v>
      </c>
    </row>
    <row r="214" spans="1:12" x14ac:dyDescent="0.3">
      <c r="A214" t="s">
        <v>250</v>
      </c>
      <c r="B214" s="6">
        <v>45728</v>
      </c>
      <c r="C214" t="s">
        <v>32</v>
      </c>
      <c r="D214" t="s">
        <v>25</v>
      </c>
      <c r="E214" t="s">
        <v>33</v>
      </c>
      <c r="F214">
        <v>17</v>
      </c>
      <c r="G214" s="7">
        <v>42.88</v>
      </c>
      <c r="H214">
        <v>2</v>
      </c>
      <c r="I214" t="s">
        <v>27</v>
      </c>
      <c r="J214" t="s">
        <v>28</v>
      </c>
      <c r="K214" s="6"/>
      <c r="L214" s="7">
        <v>0</v>
      </c>
    </row>
    <row r="215" spans="1:12" x14ac:dyDescent="0.3">
      <c r="A215" t="s">
        <v>251</v>
      </c>
      <c r="B215" s="6">
        <v>45402</v>
      </c>
      <c r="C215" t="s">
        <v>24</v>
      </c>
      <c r="D215" t="s">
        <v>25</v>
      </c>
      <c r="E215" t="s">
        <v>33</v>
      </c>
      <c r="F215">
        <v>28</v>
      </c>
      <c r="G215" s="7">
        <v>59.02</v>
      </c>
      <c r="H215">
        <v>3</v>
      </c>
      <c r="I215" t="s">
        <v>27</v>
      </c>
      <c r="J215" t="s">
        <v>28</v>
      </c>
      <c r="K215" s="6"/>
      <c r="L215" s="7">
        <v>0</v>
      </c>
    </row>
    <row r="216" spans="1:12" x14ac:dyDescent="0.3">
      <c r="A216" t="s">
        <v>252</v>
      </c>
      <c r="B216" s="6">
        <v>45371</v>
      </c>
      <c r="C216" t="s">
        <v>30</v>
      </c>
      <c r="D216" t="s">
        <v>45</v>
      </c>
      <c r="E216" t="s">
        <v>41</v>
      </c>
      <c r="F216">
        <v>29</v>
      </c>
      <c r="G216" s="7">
        <v>145.26</v>
      </c>
      <c r="H216">
        <v>2</v>
      </c>
      <c r="I216" t="s">
        <v>27</v>
      </c>
      <c r="J216" t="s">
        <v>28</v>
      </c>
      <c r="K216" s="6"/>
      <c r="L216" s="7">
        <v>0</v>
      </c>
    </row>
    <row r="217" spans="1:12" x14ac:dyDescent="0.3">
      <c r="A217" t="s">
        <v>253</v>
      </c>
      <c r="B217" s="6">
        <v>45818</v>
      </c>
      <c r="C217" t="s">
        <v>32</v>
      </c>
      <c r="D217" t="s">
        <v>25</v>
      </c>
      <c r="E217" t="s">
        <v>41</v>
      </c>
      <c r="F217">
        <v>14</v>
      </c>
      <c r="G217" s="7">
        <v>64.67</v>
      </c>
      <c r="H217">
        <v>1</v>
      </c>
      <c r="I217" t="s">
        <v>35</v>
      </c>
      <c r="J217" t="s">
        <v>28</v>
      </c>
      <c r="K217" s="6"/>
      <c r="L217" s="7">
        <v>0</v>
      </c>
    </row>
    <row r="218" spans="1:12" x14ac:dyDescent="0.3">
      <c r="A218" t="s">
        <v>254</v>
      </c>
      <c r="B218" s="6">
        <v>45753</v>
      </c>
      <c r="C218" t="s">
        <v>43</v>
      </c>
      <c r="D218" t="s">
        <v>25</v>
      </c>
      <c r="E218" t="s">
        <v>41</v>
      </c>
      <c r="F218">
        <v>16</v>
      </c>
      <c r="G218" s="7">
        <v>47.69</v>
      </c>
      <c r="H218">
        <v>3</v>
      </c>
      <c r="I218" t="s">
        <v>38</v>
      </c>
      <c r="J218" t="s">
        <v>28</v>
      </c>
      <c r="K218" s="6"/>
      <c r="L218" s="7">
        <v>0</v>
      </c>
    </row>
    <row r="219" spans="1:12" x14ac:dyDescent="0.3">
      <c r="A219" t="s">
        <v>255</v>
      </c>
      <c r="B219" s="6">
        <v>44969</v>
      </c>
      <c r="C219" t="s">
        <v>30</v>
      </c>
      <c r="D219" t="s">
        <v>37</v>
      </c>
      <c r="E219" t="s">
        <v>26</v>
      </c>
      <c r="F219">
        <v>42</v>
      </c>
      <c r="G219" s="7">
        <v>126.69</v>
      </c>
      <c r="H219">
        <v>3</v>
      </c>
      <c r="I219" t="s">
        <v>27</v>
      </c>
      <c r="J219" t="s">
        <v>28</v>
      </c>
      <c r="K219" s="6"/>
      <c r="L219" s="7">
        <v>0</v>
      </c>
    </row>
    <row r="220" spans="1:12" x14ac:dyDescent="0.3">
      <c r="A220" t="s">
        <v>256</v>
      </c>
      <c r="B220" s="6">
        <v>45712</v>
      </c>
      <c r="C220" t="s">
        <v>32</v>
      </c>
      <c r="D220" t="s">
        <v>37</v>
      </c>
      <c r="E220" t="s">
        <v>41</v>
      </c>
      <c r="F220">
        <v>18</v>
      </c>
      <c r="G220" s="7">
        <v>105.42</v>
      </c>
      <c r="H220">
        <v>3</v>
      </c>
      <c r="I220" t="s">
        <v>27</v>
      </c>
      <c r="J220" t="s">
        <v>28</v>
      </c>
      <c r="K220" s="6"/>
      <c r="L220" s="7">
        <v>0</v>
      </c>
    </row>
    <row r="221" spans="1:12" x14ac:dyDescent="0.3">
      <c r="A221" t="s">
        <v>257</v>
      </c>
      <c r="B221" s="6">
        <v>45355</v>
      </c>
      <c r="C221" t="s">
        <v>43</v>
      </c>
      <c r="D221" t="s">
        <v>37</v>
      </c>
      <c r="E221" t="s">
        <v>26</v>
      </c>
      <c r="F221">
        <v>29</v>
      </c>
      <c r="G221" s="7">
        <v>132.19</v>
      </c>
      <c r="H221">
        <v>3</v>
      </c>
      <c r="I221" t="s">
        <v>35</v>
      </c>
      <c r="J221" t="s">
        <v>52</v>
      </c>
      <c r="K221" s="6">
        <v>46100</v>
      </c>
      <c r="L221" s="7">
        <v>132.19</v>
      </c>
    </row>
    <row r="222" spans="1:12" x14ac:dyDescent="0.3">
      <c r="A222" t="s">
        <v>258</v>
      </c>
      <c r="B222" s="6">
        <v>45413</v>
      </c>
      <c r="C222" t="s">
        <v>32</v>
      </c>
      <c r="D222" t="s">
        <v>45</v>
      </c>
      <c r="E222" t="s">
        <v>41</v>
      </c>
      <c r="F222">
        <v>27</v>
      </c>
      <c r="G222" s="7">
        <v>199.97</v>
      </c>
      <c r="H222">
        <v>2</v>
      </c>
      <c r="I222" t="s">
        <v>27</v>
      </c>
      <c r="J222" t="s">
        <v>52</v>
      </c>
      <c r="K222" s="6">
        <v>45722</v>
      </c>
      <c r="L222" s="7">
        <v>199.97</v>
      </c>
    </row>
    <row r="223" spans="1:12" x14ac:dyDescent="0.3">
      <c r="A223" t="s">
        <v>259</v>
      </c>
      <c r="B223" s="6">
        <v>46131</v>
      </c>
      <c r="C223" t="s">
        <v>43</v>
      </c>
      <c r="D223" t="s">
        <v>25</v>
      </c>
      <c r="E223" t="s">
        <v>41</v>
      </c>
      <c r="F223">
        <v>4</v>
      </c>
      <c r="G223" s="7">
        <v>48.78</v>
      </c>
      <c r="H223">
        <v>4</v>
      </c>
      <c r="I223" t="s">
        <v>27</v>
      </c>
      <c r="J223" t="s">
        <v>52</v>
      </c>
      <c r="K223" s="6">
        <v>46190</v>
      </c>
      <c r="L223" s="7">
        <v>48.78</v>
      </c>
    </row>
    <row r="224" spans="1:12" x14ac:dyDescent="0.3">
      <c r="A224" t="s">
        <v>260</v>
      </c>
      <c r="B224" s="6">
        <v>45615</v>
      </c>
      <c r="C224" t="s">
        <v>32</v>
      </c>
      <c r="D224" t="s">
        <v>45</v>
      </c>
      <c r="E224" t="s">
        <v>41</v>
      </c>
      <c r="F224">
        <v>21</v>
      </c>
      <c r="G224" s="7">
        <v>263.47000000000003</v>
      </c>
      <c r="H224">
        <v>6</v>
      </c>
      <c r="I224" t="s">
        <v>35</v>
      </c>
      <c r="J224" t="s">
        <v>28</v>
      </c>
      <c r="K224" s="6"/>
      <c r="L224" s="7">
        <v>0</v>
      </c>
    </row>
    <row r="225" spans="1:12" x14ac:dyDescent="0.3">
      <c r="A225" t="s">
        <v>261</v>
      </c>
      <c r="B225" s="6">
        <v>45109</v>
      </c>
      <c r="C225" t="s">
        <v>43</v>
      </c>
      <c r="D225" t="s">
        <v>37</v>
      </c>
      <c r="E225" t="s">
        <v>41</v>
      </c>
      <c r="F225">
        <v>37</v>
      </c>
      <c r="G225" s="7">
        <v>124.83</v>
      </c>
      <c r="H225">
        <v>3</v>
      </c>
      <c r="I225" t="s">
        <v>35</v>
      </c>
      <c r="J225" t="s">
        <v>28</v>
      </c>
      <c r="K225" s="6"/>
      <c r="L225" s="7">
        <v>0</v>
      </c>
    </row>
    <row r="226" spans="1:12" x14ac:dyDescent="0.3">
      <c r="A226" t="s">
        <v>262</v>
      </c>
      <c r="B226" s="6">
        <v>45856</v>
      </c>
      <c r="C226" t="s">
        <v>24</v>
      </c>
      <c r="D226" t="s">
        <v>37</v>
      </c>
      <c r="E226" t="s">
        <v>41</v>
      </c>
      <c r="F226">
        <v>13</v>
      </c>
      <c r="G226" s="7">
        <v>132.35</v>
      </c>
      <c r="H226">
        <v>4</v>
      </c>
      <c r="I226" t="s">
        <v>35</v>
      </c>
      <c r="J226" t="s">
        <v>28</v>
      </c>
      <c r="K226" s="6"/>
      <c r="L226" s="7">
        <v>0</v>
      </c>
    </row>
    <row r="227" spans="1:12" x14ac:dyDescent="0.3">
      <c r="A227" t="s">
        <v>263</v>
      </c>
      <c r="B227" s="6">
        <v>45081</v>
      </c>
      <c r="C227" t="s">
        <v>30</v>
      </c>
      <c r="D227" t="s">
        <v>25</v>
      </c>
      <c r="E227" t="s">
        <v>41</v>
      </c>
      <c r="F227">
        <v>38</v>
      </c>
      <c r="G227" s="7">
        <v>42.32</v>
      </c>
      <c r="H227">
        <v>2</v>
      </c>
      <c r="I227" t="s">
        <v>27</v>
      </c>
      <c r="J227" t="s">
        <v>28</v>
      </c>
      <c r="K227" s="6"/>
      <c r="L227" s="7">
        <v>0</v>
      </c>
    </row>
    <row r="228" spans="1:12" x14ac:dyDescent="0.3">
      <c r="A228" t="s">
        <v>264</v>
      </c>
      <c r="B228" s="6">
        <v>45486</v>
      </c>
      <c r="C228" t="s">
        <v>32</v>
      </c>
      <c r="D228" t="s">
        <v>45</v>
      </c>
      <c r="E228" t="s">
        <v>41</v>
      </c>
      <c r="F228">
        <v>25</v>
      </c>
      <c r="G228" s="7">
        <v>267.5</v>
      </c>
      <c r="H228">
        <v>4</v>
      </c>
      <c r="I228" t="s">
        <v>35</v>
      </c>
      <c r="J228" t="s">
        <v>28</v>
      </c>
      <c r="K228" s="6"/>
      <c r="L228" s="7">
        <v>0</v>
      </c>
    </row>
    <row r="229" spans="1:12" x14ac:dyDescent="0.3">
      <c r="A229" t="s">
        <v>265</v>
      </c>
      <c r="B229" s="6">
        <v>45981</v>
      </c>
      <c r="C229" t="s">
        <v>43</v>
      </c>
      <c r="D229" t="s">
        <v>45</v>
      </c>
      <c r="E229" t="s">
        <v>41</v>
      </c>
      <c r="F229">
        <v>9</v>
      </c>
      <c r="G229" s="7">
        <v>260.47000000000003</v>
      </c>
      <c r="H229">
        <v>3</v>
      </c>
      <c r="I229" t="s">
        <v>38</v>
      </c>
      <c r="J229" t="s">
        <v>28</v>
      </c>
      <c r="K229" s="6"/>
      <c r="L229" s="7">
        <v>0</v>
      </c>
    </row>
    <row r="230" spans="1:12" x14ac:dyDescent="0.3">
      <c r="A230" t="s">
        <v>266</v>
      </c>
      <c r="B230" s="6">
        <v>45170</v>
      </c>
      <c r="C230" t="s">
        <v>32</v>
      </c>
      <c r="D230" t="s">
        <v>25</v>
      </c>
      <c r="E230" t="s">
        <v>33</v>
      </c>
      <c r="F230">
        <v>35</v>
      </c>
      <c r="G230" s="7">
        <v>45.06</v>
      </c>
      <c r="H230">
        <v>2</v>
      </c>
      <c r="I230" t="s">
        <v>27</v>
      </c>
      <c r="J230" t="s">
        <v>52</v>
      </c>
      <c r="K230" s="6">
        <v>45749</v>
      </c>
      <c r="L230" s="7">
        <v>45.06</v>
      </c>
    </row>
    <row r="231" spans="1:12" x14ac:dyDescent="0.3">
      <c r="A231" t="s">
        <v>267</v>
      </c>
      <c r="B231" s="6">
        <v>46160</v>
      </c>
      <c r="C231" t="s">
        <v>30</v>
      </c>
      <c r="D231" t="s">
        <v>37</v>
      </c>
      <c r="E231" t="s">
        <v>41</v>
      </c>
      <c r="F231">
        <v>3</v>
      </c>
      <c r="G231" s="7">
        <v>80.28</v>
      </c>
      <c r="H231">
        <v>6</v>
      </c>
      <c r="I231" t="s">
        <v>35</v>
      </c>
      <c r="J231" t="s">
        <v>52</v>
      </c>
      <c r="K231" s="6">
        <v>46216</v>
      </c>
      <c r="L231" s="7">
        <v>80.28</v>
      </c>
    </row>
    <row r="232" spans="1:12" x14ac:dyDescent="0.3">
      <c r="A232" t="s">
        <v>268</v>
      </c>
      <c r="B232" s="6">
        <v>45785</v>
      </c>
      <c r="C232" t="s">
        <v>24</v>
      </c>
      <c r="D232" t="s">
        <v>45</v>
      </c>
      <c r="E232" t="s">
        <v>41</v>
      </c>
      <c r="F232">
        <v>15</v>
      </c>
      <c r="G232" s="7">
        <v>249.81</v>
      </c>
      <c r="H232">
        <v>1</v>
      </c>
      <c r="I232" t="s">
        <v>27</v>
      </c>
      <c r="J232" t="s">
        <v>28</v>
      </c>
      <c r="K232" s="6"/>
      <c r="L232" s="7">
        <v>0</v>
      </c>
    </row>
    <row r="233" spans="1:12" x14ac:dyDescent="0.3">
      <c r="A233" t="s">
        <v>269</v>
      </c>
      <c r="B233" s="6">
        <v>45887</v>
      </c>
      <c r="C233" t="s">
        <v>43</v>
      </c>
      <c r="D233" t="s">
        <v>45</v>
      </c>
      <c r="E233" t="s">
        <v>41</v>
      </c>
      <c r="F233">
        <v>12</v>
      </c>
      <c r="G233" s="7">
        <v>247.17</v>
      </c>
      <c r="H233">
        <v>1</v>
      </c>
      <c r="I233" t="s">
        <v>27</v>
      </c>
      <c r="J233" t="s">
        <v>52</v>
      </c>
      <c r="K233" s="6">
        <v>46087</v>
      </c>
      <c r="L233" s="7">
        <v>247.17</v>
      </c>
    </row>
    <row r="234" spans="1:12" x14ac:dyDescent="0.3">
      <c r="A234" t="s">
        <v>270</v>
      </c>
      <c r="B234" s="6">
        <v>45553</v>
      </c>
      <c r="C234" t="s">
        <v>32</v>
      </c>
      <c r="D234" t="s">
        <v>45</v>
      </c>
      <c r="E234" t="s">
        <v>41</v>
      </c>
      <c r="F234">
        <v>23</v>
      </c>
      <c r="G234" s="7">
        <v>260.45</v>
      </c>
      <c r="H234">
        <v>6</v>
      </c>
      <c r="I234" t="s">
        <v>38</v>
      </c>
      <c r="J234" t="s">
        <v>28</v>
      </c>
      <c r="K234" s="6"/>
      <c r="L234" s="7">
        <v>0</v>
      </c>
    </row>
    <row r="235" spans="1:12" x14ac:dyDescent="0.3">
      <c r="A235" t="s">
        <v>271</v>
      </c>
      <c r="B235" s="6">
        <v>46091</v>
      </c>
      <c r="C235" t="s">
        <v>30</v>
      </c>
      <c r="D235" t="s">
        <v>37</v>
      </c>
      <c r="E235" t="s">
        <v>41</v>
      </c>
      <c r="F235">
        <v>5</v>
      </c>
      <c r="G235" s="7">
        <v>73.37</v>
      </c>
      <c r="H235">
        <v>7</v>
      </c>
      <c r="I235" t="s">
        <v>35</v>
      </c>
      <c r="J235" t="s">
        <v>28</v>
      </c>
      <c r="K235" s="6"/>
      <c r="L235" s="7">
        <v>0</v>
      </c>
    </row>
    <row r="236" spans="1:12" x14ac:dyDescent="0.3">
      <c r="A236" t="s">
        <v>272</v>
      </c>
      <c r="B236" s="6">
        <v>45891</v>
      </c>
      <c r="C236" t="s">
        <v>24</v>
      </c>
      <c r="D236" t="s">
        <v>45</v>
      </c>
      <c r="E236" t="s">
        <v>41</v>
      </c>
      <c r="F236">
        <v>12</v>
      </c>
      <c r="G236" s="7">
        <v>199.43</v>
      </c>
      <c r="H236">
        <v>3</v>
      </c>
      <c r="I236" t="s">
        <v>35</v>
      </c>
      <c r="J236" t="s">
        <v>28</v>
      </c>
      <c r="K236" s="6"/>
      <c r="L236" s="7">
        <v>0</v>
      </c>
    </row>
    <row r="237" spans="1:12" x14ac:dyDescent="0.3">
      <c r="A237" t="s">
        <v>273</v>
      </c>
      <c r="B237" s="6">
        <v>45484</v>
      </c>
      <c r="C237" t="s">
        <v>43</v>
      </c>
      <c r="D237" t="s">
        <v>25</v>
      </c>
      <c r="E237" t="s">
        <v>26</v>
      </c>
      <c r="F237">
        <v>25</v>
      </c>
      <c r="G237" s="7">
        <v>55.41</v>
      </c>
      <c r="H237">
        <v>2</v>
      </c>
      <c r="I237" t="s">
        <v>35</v>
      </c>
      <c r="J237" t="s">
        <v>28</v>
      </c>
      <c r="K237" s="6"/>
      <c r="L237" s="7">
        <v>0</v>
      </c>
    </row>
    <row r="238" spans="1:12" x14ac:dyDescent="0.3">
      <c r="A238" t="s">
        <v>274</v>
      </c>
      <c r="B238" s="6">
        <v>45284</v>
      </c>
      <c r="C238" t="s">
        <v>32</v>
      </c>
      <c r="D238" t="s">
        <v>37</v>
      </c>
      <c r="E238" t="s">
        <v>26</v>
      </c>
      <c r="F238">
        <v>32</v>
      </c>
      <c r="G238" s="7">
        <v>116.64</v>
      </c>
      <c r="H238">
        <v>4</v>
      </c>
      <c r="I238" t="s">
        <v>27</v>
      </c>
      <c r="J238" t="s">
        <v>28</v>
      </c>
      <c r="K238" s="6"/>
      <c r="L238" s="7">
        <v>0</v>
      </c>
    </row>
    <row r="239" spans="1:12" x14ac:dyDescent="0.3">
      <c r="A239" t="s">
        <v>275</v>
      </c>
      <c r="B239" s="6">
        <v>46221</v>
      </c>
      <c r="C239" t="s">
        <v>24</v>
      </c>
      <c r="D239" t="s">
        <v>37</v>
      </c>
      <c r="E239" t="s">
        <v>41</v>
      </c>
      <c r="F239">
        <v>1</v>
      </c>
      <c r="G239" s="7">
        <v>134.55000000000001</v>
      </c>
      <c r="H239">
        <v>2</v>
      </c>
      <c r="I239" t="s">
        <v>35</v>
      </c>
      <c r="J239" t="s">
        <v>52</v>
      </c>
      <c r="K239" s="6">
        <v>46252</v>
      </c>
      <c r="L239" s="7">
        <v>134.55000000000001</v>
      </c>
    </row>
    <row r="240" spans="1:12" x14ac:dyDescent="0.3">
      <c r="A240" t="s">
        <v>276</v>
      </c>
      <c r="B240" s="6">
        <v>45122</v>
      </c>
      <c r="C240" t="s">
        <v>32</v>
      </c>
      <c r="D240" t="s">
        <v>37</v>
      </c>
      <c r="E240" t="s">
        <v>26</v>
      </c>
      <c r="F240">
        <v>37</v>
      </c>
      <c r="G240" s="7">
        <v>90.45</v>
      </c>
      <c r="H240">
        <v>1</v>
      </c>
      <c r="I240" t="s">
        <v>38</v>
      </c>
      <c r="J240" t="s">
        <v>28</v>
      </c>
      <c r="K240" s="6"/>
      <c r="L240" s="7">
        <v>0</v>
      </c>
    </row>
    <row r="241" spans="1:12" x14ac:dyDescent="0.3">
      <c r="A241" t="s">
        <v>277</v>
      </c>
      <c r="B241" s="6">
        <v>45276</v>
      </c>
      <c r="C241" t="s">
        <v>32</v>
      </c>
      <c r="D241" t="s">
        <v>37</v>
      </c>
      <c r="E241" t="s">
        <v>41</v>
      </c>
      <c r="F241">
        <v>32</v>
      </c>
      <c r="G241" s="7">
        <v>105.82</v>
      </c>
      <c r="H241">
        <v>5</v>
      </c>
      <c r="I241" t="s">
        <v>38</v>
      </c>
      <c r="J241" t="s">
        <v>28</v>
      </c>
      <c r="K241" s="6"/>
      <c r="L241" s="7">
        <v>0</v>
      </c>
    </row>
    <row r="242" spans="1:12" x14ac:dyDescent="0.3">
      <c r="A242" t="s">
        <v>278</v>
      </c>
      <c r="B242" s="6">
        <v>46150</v>
      </c>
      <c r="C242" t="s">
        <v>24</v>
      </c>
      <c r="D242" t="s">
        <v>37</v>
      </c>
      <c r="E242" t="s">
        <v>41</v>
      </c>
      <c r="F242">
        <v>3</v>
      </c>
      <c r="G242" s="7">
        <v>125.13</v>
      </c>
      <c r="H242">
        <v>6</v>
      </c>
      <c r="I242" t="s">
        <v>27</v>
      </c>
      <c r="J242" t="s">
        <v>52</v>
      </c>
      <c r="K242" s="6">
        <v>46207</v>
      </c>
      <c r="L242" s="7">
        <v>125.13</v>
      </c>
    </row>
    <row r="243" spans="1:12" x14ac:dyDescent="0.3">
      <c r="A243" t="s">
        <v>279</v>
      </c>
      <c r="B243" s="6">
        <v>44935</v>
      </c>
      <c r="C243" t="s">
        <v>32</v>
      </c>
      <c r="D243" t="s">
        <v>37</v>
      </c>
      <c r="E243" t="s">
        <v>33</v>
      </c>
      <c r="F243">
        <v>43</v>
      </c>
      <c r="G243" s="7">
        <v>120.73</v>
      </c>
      <c r="H243">
        <v>0</v>
      </c>
      <c r="I243" t="s">
        <v>38</v>
      </c>
      <c r="J243" t="s">
        <v>28</v>
      </c>
      <c r="K243" s="6"/>
      <c r="L243" s="7">
        <v>0</v>
      </c>
    </row>
    <row r="244" spans="1:12" x14ac:dyDescent="0.3">
      <c r="A244" t="s">
        <v>280</v>
      </c>
      <c r="B244" s="6">
        <v>46127</v>
      </c>
      <c r="C244" t="s">
        <v>43</v>
      </c>
      <c r="D244" t="s">
        <v>25</v>
      </c>
      <c r="E244" t="s">
        <v>26</v>
      </c>
      <c r="F244">
        <v>4</v>
      </c>
      <c r="G244" s="7">
        <v>47.06</v>
      </c>
      <c r="H244">
        <v>6</v>
      </c>
      <c r="I244" t="s">
        <v>27</v>
      </c>
      <c r="J244" t="s">
        <v>28</v>
      </c>
      <c r="K244" s="6"/>
      <c r="L244" s="7">
        <v>0</v>
      </c>
    </row>
    <row r="245" spans="1:12" x14ac:dyDescent="0.3">
      <c r="A245" t="s">
        <v>281</v>
      </c>
      <c r="B245" s="6">
        <v>46098</v>
      </c>
      <c r="C245" t="s">
        <v>32</v>
      </c>
      <c r="D245" t="s">
        <v>45</v>
      </c>
      <c r="E245" t="s">
        <v>26</v>
      </c>
      <c r="F245">
        <v>5</v>
      </c>
      <c r="G245" s="7">
        <v>216.33</v>
      </c>
      <c r="H245">
        <v>2</v>
      </c>
      <c r="I245" t="s">
        <v>38</v>
      </c>
      <c r="J245" t="s">
        <v>28</v>
      </c>
      <c r="K245" s="6"/>
      <c r="L245" s="7">
        <v>0</v>
      </c>
    </row>
    <row r="246" spans="1:12" x14ac:dyDescent="0.3">
      <c r="A246" t="s">
        <v>282</v>
      </c>
      <c r="B246" s="6">
        <v>46127</v>
      </c>
      <c r="C246" t="s">
        <v>43</v>
      </c>
      <c r="D246" t="s">
        <v>45</v>
      </c>
      <c r="E246" t="s">
        <v>41</v>
      </c>
      <c r="F246">
        <v>4</v>
      </c>
      <c r="G246" s="7">
        <v>246.8</v>
      </c>
      <c r="H246">
        <v>4</v>
      </c>
      <c r="I246" t="s">
        <v>38</v>
      </c>
      <c r="J246" t="s">
        <v>28</v>
      </c>
      <c r="K246" s="6"/>
      <c r="L246" s="7">
        <v>0</v>
      </c>
    </row>
    <row r="247" spans="1:12" x14ac:dyDescent="0.3">
      <c r="A247" t="s">
        <v>283</v>
      </c>
      <c r="B247" s="6">
        <v>45343</v>
      </c>
      <c r="C247" t="s">
        <v>43</v>
      </c>
      <c r="D247" t="s">
        <v>45</v>
      </c>
      <c r="E247" t="s">
        <v>41</v>
      </c>
      <c r="F247">
        <v>30</v>
      </c>
      <c r="G247" s="7">
        <v>261.86</v>
      </c>
      <c r="H247">
        <v>5</v>
      </c>
      <c r="I247" t="s">
        <v>38</v>
      </c>
      <c r="J247" t="s">
        <v>28</v>
      </c>
      <c r="K247" s="6"/>
      <c r="L247" s="7">
        <v>0</v>
      </c>
    </row>
    <row r="248" spans="1:12" x14ac:dyDescent="0.3">
      <c r="A248" t="s">
        <v>284</v>
      </c>
      <c r="B248" s="6">
        <v>45545</v>
      </c>
      <c r="C248" t="s">
        <v>30</v>
      </c>
      <c r="D248" t="s">
        <v>45</v>
      </c>
      <c r="E248" t="s">
        <v>33</v>
      </c>
      <c r="F248">
        <v>23</v>
      </c>
      <c r="G248" s="7">
        <v>195.94</v>
      </c>
      <c r="H248">
        <v>5</v>
      </c>
      <c r="I248" t="s">
        <v>35</v>
      </c>
      <c r="J248" t="s">
        <v>28</v>
      </c>
      <c r="K248" s="6"/>
      <c r="L248" s="7">
        <v>0</v>
      </c>
    </row>
    <row r="249" spans="1:12" x14ac:dyDescent="0.3">
      <c r="A249" t="s">
        <v>285</v>
      </c>
      <c r="B249" s="6">
        <v>45274</v>
      </c>
      <c r="C249" t="s">
        <v>24</v>
      </c>
      <c r="D249" t="s">
        <v>25</v>
      </c>
      <c r="E249" t="s">
        <v>41</v>
      </c>
      <c r="F249">
        <v>32</v>
      </c>
      <c r="G249" s="7">
        <v>57.76</v>
      </c>
      <c r="H249">
        <v>4</v>
      </c>
      <c r="I249" t="s">
        <v>38</v>
      </c>
      <c r="J249" t="s">
        <v>52</v>
      </c>
      <c r="K249" s="6">
        <v>45615</v>
      </c>
      <c r="L249" s="7">
        <v>57.76</v>
      </c>
    </row>
    <row r="250" spans="1:12" x14ac:dyDescent="0.3">
      <c r="A250" t="s">
        <v>286</v>
      </c>
      <c r="B250" s="6">
        <v>45200</v>
      </c>
      <c r="C250" t="s">
        <v>24</v>
      </c>
      <c r="D250" t="s">
        <v>25</v>
      </c>
      <c r="E250" t="s">
        <v>41</v>
      </c>
      <c r="F250">
        <v>34</v>
      </c>
      <c r="G250" s="7">
        <v>60.22</v>
      </c>
      <c r="H250">
        <v>0</v>
      </c>
      <c r="I250" t="s">
        <v>35</v>
      </c>
      <c r="J250" t="s">
        <v>28</v>
      </c>
      <c r="K250" s="6"/>
      <c r="L250" s="7">
        <v>0</v>
      </c>
    </row>
    <row r="251" spans="1:12" x14ac:dyDescent="0.3">
      <c r="A251" t="s">
        <v>287</v>
      </c>
      <c r="B251" s="6">
        <v>45572</v>
      </c>
      <c r="C251" t="s">
        <v>32</v>
      </c>
      <c r="D251" t="s">
        <v>45</v>
      </c>
      <c r="E251" t="s">
        <v>41</v>
      </c>
      <c r="F251">
        <v>22</v>
      </c>
      <c r="G251" s="7">
        <v>163.75</v>
      </c>
      <c r="H251">
        <v>1</v>
      </c>
      <c r="I251" t="s">
        <v>27</v>
      </c>
      <c r="J251" t="s">
        <v>28</v>
      </c>
      <c r="K251" s="6"/>
      <c r="L251" s="7">
        <v>0</v>
      </c>
    </row>
    <row r="252" spans="1:12" x14ac:dyDescent="0.3">
      <c r="A252" t="s">
        <v>288</v>
      </c>
      <c r="B252" s="6">
        <v>44960</v>
      </c>
      <c r="C252" t="s">
        <v>30</v>
      </c>
      <c r="D252" t="s">
        <v>45</v>
      </c>
      <c r="E252" t="s">
        <v>41</v>
      </c>
      <c r="F252">
        <v>42</v>
      </c>
      <c r="G252" s="7">
        <v>202.91</v>
      </c>
      <c r="H252">
        <v>0</v>
      </c>
      <c r="I252" t="s">
        <v>35</v>
      </c>
      <c r="J252" t="s">
        <v>28</v>
      </c>
      <c r="K252" s="6"/>
      <c r="L252" s="7">
        <v>0</v>
      </c>
    </row>
    <row r="253" spans="1:12" x14ac:dyDescent="0.3">
      <c r="A253" t="s">
        <v>289</v>
      </c>
      <c r="B253" s="6">
        <v>45739</v>
      </c>
      <c r="C253" t="s">
        <v>30</v>
      </c>
      <c r="D253" t="s">
        <v>37</v>
      </c>
      <c r="E253" t="s">
        <v>41</v>
      </c>
      <c r="F253">
        <v>17</v>
      </c>
      <c r="G253" s="7">
        <v>74.069999999999993</v>
      </c>
      <c r="H253">
        <v>5</v>
      </c>
      <c r="I253" t="s">
        <v>35</v>
      </c>
      <c r="J253" t="s">
        <v>28</v>
      </c>
      <c r="K253" s="6"/>
      <c r="L253" s="7">
        <v>0</v>
      </c>
    </row>
    <row r="254" spans="1:12" x14ac:dyDescent="0.3">
      <c r="A254" t="s">
        <v>290</v>
      </c>
      <c r="B254" s="6">
        <v>45084</v>
      </c>
      <c r="C254" t="s">
        <v>32</v>
      </c>
      <c r="D254" t="s">
        <v>45</v>
      </c>
      <c r="E254" t="s">
        <v>41</v>
      </c>
      <c r="F254">
        <v>38</v>
      </c>
      <c r="G254" s="7">
        <v>150.88999999999999</v>
      </c>
      <c r="H254">
        <v>5</v>
      </c>
      <c r="I254" t="s">
        <v>38</v>
      </c>
      <c r="J254" t="s">
        <v>28</v>
      </c>
      <c r="K254" s="6"/>
      <c r="L254" s="7">
        <v>0</v>
      </c>
    </row>
    <row r="255" spans="1:12" x14ac:dyDescent="0.3">
      <c r="A255" t="s">
        <v>291</v>
      </c>
      <c r="B255" s="6">
        <v>45207</v>
      </c>
      <c r="C255" t="s">
        <v>30</v>
      </c>
      <c r="D255" t="s">
        <v>25</v>
      </c>
      <c r="E255" t="s">
        <v>41</v>
      </c>
      <c r="F255">
        <v>34</v>
      </c>
      <c r="G255" s="7">
        <v>65.319999999999993</v>
      </c>
      <c r="H255">
        <v>1</v>
      </c>
      <c r="I255" t="s">
        <v>38</v>
      </c>
      <c r="J255" t="s">
        <v>28</v>
      </c>
      <c r="K255" s="6"/>
      <c r="L255" s="7">
        <v>0</v>
      </c>
    </row>
    <row r="256" spans="1:12" x14ac:dyDescent="0.3">
      <c r="A256" t="s">
        <v>292</v>
      </c>
      <c r="B256" s="6">
        <v>45148</v>
      </c>
      <c r="C256" t="s">
        <v>32</v>
      </c>
      <c r="D256" t="s">
        <v>45</v>
      </c>
      <c r="E256" t="s">
        <v>41</v>
      </c>
      <c r="F256">
        <v>36</v>
      </c>
      <c r="G256" s="7">
        <v>255.74</v>
      </c>
      <c r="H256">
        <v>4</v>
      </c>
      <c r="I256" t="s">
        <v>35</v>
      </c>
      <c r="J256" t="s">
        <v>28</v>
      </c>
      <c r="K256" s="6"/>
      <c r="L256" s="7">
        <v>0</v>
      </c>
    </row>
    <row r="257" spans="1:12" x14ac:dyDescent="0.3">
      <c r="A257" t="s">
        <v>293</v>
      </c>
      <c r="B257" s="6">
        <v>45483</v>
      </c>
      <c r="C257" t="s">
        <v>32</v>
      </c>
      <c r="D257" t="s">
        <v>45</v>
      </c>
      <c r="E257" t="s">
        <v>41</v>
      </c>
      <c r="F257">
        <v>25</v>
      </c>
      <c r="G257" s="7">
        <v>243.89</v>
      </c>
      <c r="H257">
        <v>3</v>
      </c>
      <c r="I257" t="s">
        <v>27</v>
      </c>
      <c r="J257" t="s">
        <v>28</v>
      </c>
      <c r="K257" s="6"/>
      <c r="L257" s="7">
        <v>0</v>
      </c>
    </row>
    <row r="258" spans="1:12" x14ac:dyDescent="0.3">
      <c r="A258" t="s">
        <v>294</v>
      </c>
      <c r="B258" s="6">
        <v>45456</v>
      </c>
      <c r="C258" t="s">
        <v>30</v>
      </c>
      <c r="D258" t="s">
        <v>25</v>
      </c>
      <c r="E258" t="s">
        <v>33</v>
      </c>
      <c r="F258">
        <v>26</v>
      </c>
      <c r="G258" s="7">
        <v>45.16</v>
      </c>
      <c r="H258">
        <v>2</v>
      </c>
      <c r="I258" t="s">
        <v>38</v>
      </c>
      <c r="J258" t="s">
        <v>28</v>
      </c>
      <c r="K258" s="6"/>
      <c r="L258" s="7">
        <v>0</v>
      </c>
    </row>
    <row r="259" spans="1:12" x14ac:dyDescent="0.3">
      <c r="A259" t="s">
        <v>295</v>
      </c>
      <c r="B259" s="6">
        <v>45859</v>
      </c>
      <c r="C259" t="s">
        <v>24</v>
      </c>
      <c r="D259" t="s">
        <v>25</v>
      </c>
      <c r="E259" t="s">
        <v>41</v>
      </c>
      <c r="F259">
        <v>13</v>
      </c>
      <c r="G259" s="7">
        <v>64.760000000000005</v>
      </c>
      <c r="H259">
        <v>3</v>
      </c>
      <c r="I259" t="s">
        <v>38</v>
      </c>
      <c r="J259" t="s">
        <v>28</v>
      </c>
      <c r="K259" s="6"/>
      <c r="L259" s="7">
        <v>0</v>
      </c>
    </row>
    <row r="260" spans="1:12" x14ac:dyDescent="0.3">
      <c r="A260" t="s">
        <v>296</v>
      </c>
      <c r="B260" s="6">
        <v>45514</v>
      </c>
      <c r="C260" t="s">
        <v>43</v>
      </c>
      <c r="D260" t="s">
        <v>25</v>
      </c>
      <c r="E260" t="s">
        <v>41</v>
      </c>
      <c r="F260">
        <v>24</v>
      </c>
      <c r="G260" s="7">
        <v>44.79</v>
      </c>
      <c r="H260">
        <v>7</v>
      </c>
      <c r="I260" t="s">
        <v>27</v>
      </c>
      <c r="J260" t="s">
        <v>52</v>
      </c>
      <c r="K260" s="6">
        <v>45676</v>
      </c>
      <c r="L260" s="7">
        <v>44.79</v>
      </c>
    </row>
    <row r="261" spans="1:12" x14ac:dyDescent="0.3">
      <c r="A261" t="s">
        <v>297</v>
      </c>
      <c r="B261" s="6">
        <v>45430</v>
      </c>
      <c r="C261" t="s">
        <v>30</v>
      </c>
      <c r="D261" t="s">
        <v>45</v>
      </c>
      <c r="E261" t="s">
        <v>41</v>
      </c>
      <c r="F261">
        <v>27</v>
      </c>
      <c r="G261" s="7">
        <v>249.38</v>
      </c>
      <c r="H261">
        <v>4</v>
      </c>
      <c r="I261" t="s">
        <v>27</v>
      </c>
      <c r="J261" t="s">
        <v>28</v>
      </c>
      <c r="K261" s="6"/>
      <c r="L261" s="7">
        <v>0</v>
      </c>
    </row>
    <row r="262" spans="1:12" x14ac:dyDescent="0.3">
      <c r="A262" t="s">
        <v>298</v>
      </c>
      <c r="B262" s="6">
        <v>45815</v>
      </c>
      <c r="C262" t="s">
        <v>32</v>
      </c>
      <c r="D262" t="s">
        <v>37</v>
      </c>
      <c r="E262" t="s">
        <v>26</v>
      </c>
      <c r="F262">
        <v>14</v>
      </c>
      <c r="G262" s="7">
        <v>108.59</v>
      </c>
      <c r="H262">
        <v>2</v>
      </c>
      <c r="I262" t="s">
        <v>38</v>
      </c>
      <c r="J262" t="s">
        <v>28</v>
      </c>
      <c r="K262" s="6"/>
      <c r="L262" s="7">
        <v>0</v>
      </c>
    </row>
    <row r="263" spans="1:12" x14ac:dyDescent="0.3">
      <c r="A263" t="s">
        <v>299</v>
      </c>
      <c r="B263" s="6">
        <v>45635</v>
      </c>
      <c r="C263" t="s">
        <v>32</v>
      </c>
      <c r="D263" t="s">
        <v>45</v>
      </c>
      <c r="E263" t="s">
        <v>33</v>
      </c>
      <c r="F263">
        <v>20</v>
      </c>
      <c r="G263" s="7">
        <v>211.37</v>
      </c>
      <c r="H263">
        <v>5</v>
      </c>
      <c r="I263" t="s">
        <v>35</v>
      </c>
      <c r="J263" t="s">
        <v>28</v>
      </c>
      <c r="K263" s="6"/>
      <c r="L263" s="7">
        <v>0</v>
      </c>
    </row>
    <row r="264" spans="1:12" x14ac:dyDescent="0.3">
      <c r="A264" t="s">
        <v>300</v>
      </c>
      <c r="B264" s="6">
        <v>45376</v>
      </c>
      <c r="C264" t="s">
        <v>24</v>
      </c>
      <c r="D264" t="s">
        <v>45</v>
      </c>
      <c r="E264" t="s">
        <v>41</v>
      </c>
      <c r="F264">
        <v>29</v>
      </c>
      <c r="G264" s="7">
        <v>212.37</v>
      </c>
      <c r="H264">
        <v>3</v>
      </c>
      <c r="I264" t="s">
        <v>35</v>
      </c>
      <c r="J264" t="s">
        <v>28</v>
      </c>
      <c r="K264" s="6"/>
      <c r="L264" s="7">
        <v>0</v>
      </c>
    </row>
    <row r="265" spans="1:12" x14ac:dyDescent="0.3">
      <c r="A265" t="s">
        <v>301</v>
      </c>
      <c r="B265" s="6">
        <v>45413</v>
      </c>
      <c r="C265" t="s">
        <v>32</v>
      </c>
      <c r="D265" t="s">
        <v>45</v>
      </c>
      <c r="E265" t="s">
        <v>41</v>
      </c>
      <c r="F265">
        <v>27</v>
      </c>
      <c r="G265" s="7">
        <v>166.31</v>
      </c>
      <c r="H265">
        <v>6</v>
      </c>
      <c r="I265" t="s">
        <v>38</v>
      </c>
      <c r="J265" t="s">
        <v>28</v>
      </c>
      <c r="K265" s="6"/>
      <c r="L265" s="7">
        <v>0</v>
      </c>
    </row>
    <row r="266" spans="1:12" x14ac:dyDescent="0.3">
      <c r="A266" t="s">
        <v>302</v>
      </c>
      <c r="B266" s="6">
        <v>45600</v>
      </c>
      <c r="C266" t="s">
        <v>24</v>
      </c>
      <c r="D266" t="s">
        <v>45</v>
      </c>
      <c r="E266" t="s">
        <v>33</v>
      </c>
      <c r="F266">
        <v>21</v>
      </c>
      <c r="G266" s="7">
        <v>245.45</v>
      </c>
      <c r="H266">
        <v>3</v>
      </c>
      <c r="I266" t="s">
        <v>27</v>
      </c>
      <c r="J266" t="s">
        <v>28</v>
      </c>
      <c r="K266" s="6"/>
      <c r="L266" s="7">
        <v>0</v>
      </c>
    </row>
    <row r="267" spans="1:12" x14ac:dyDescent="0.3">
      <c r="A267" t="s">
        <v>303</v>
      </c>
      <c r="B267" s="6">
        <v>45417</v>
      </c>
      <c r="C267" t="s">
        <v>32</v>
      </c>
      <c r="D267" t="s">
        <v>37</v>
      </c>
      <c r="E267" t="s">
        <v>41</v>
      </c>
      <c r="F267">
        <v>27</v>
      </c>
      <c r="G267" s="7">
        <v>125.19</v>
      </c>
      <c r="H267">
        <v>2</v>
      </c>
      <c r="I267" t="s">
        <v>35</v>
      </c>
      <c r="J267" t="s">
        <v>28</v>
      </c>
      <c r="K267" s="6"/>
      <c r="L267" s="7">
        <v>0</v>
      </c>
    </row>
    <row r="268" spans="1:12" x14ac:dyDescent="0.3">
      <c r="A268" t="s">
        <v>304</v>
      </c>
      <c r="B268" s="6">
        <v>45418</v>
      </c>
      <c r="C268" t="s">
        <v>24</v>
      </c>
      <c r="D268" t="s">
        <v>37</v>
      </c>
      <c r="E268" t="s">
        <v>26</v>
      </c>
      <c r="F268">
        <v>27</v>
      </c>
      <c r="G268" s="7">
        <v>113.81</v>
      </c>
      <c r="H268">
        <v>2</v>
      </c>
      <c r="I268" t="s">
        <v>35</v>
      </c>
      <c r="J268" t="s">
        <v>28</v>
      </c>
      <c r="K268" s="6"/>
      <c r="L268" s="7">
        <v>0</v>
      </c>
    </row>
    <row r="269" spans="1:12" x14ac:dyDescent="0.3">
      <c r="A269" t="s">
        <v>305</v>
      </c>
      <c r="B269" s="6">
        <v>46066</v>
      </c>
      <c r="C269" t="s">
        <v>43</v>
      </c>
      <c r="D269" t="s">
        <v>45</v>
      </c>
      <c r="E269" t="s">
        <v>41</v>
      </c>
      <c r="F269">
        <v>6</v>
      </c>
      <c r="G269" s="7">
        <v>180.73</v>
      </c>
      <c r="H269">
        <v>5</v>
      </c>
      <c r="I269" t="s">
        <v>35</v>
      </c>
      <c r="J269" t="s">
        <v>28</v>
      </c>
      <c r="K269" s="6"/>
      <c r="L269" s="7">
        <v>0</v>
      </c>
    </row>
    <row r="270" spans="1:12" x14ac:dyDescent="0.3">
      <c r="A270" t="s">
        <v>306</v>
      </c>
      <c r="B270" s="6">
        <v>45648</v>
      </c>
      <c r="C270" t="s">
        <v>24</v>
      </c>
      <c r="D270" t="s">
        <v>37</v>
      </c>
      <c r="E270" t="s">
        <v>41</v>
      </c>
      <c r="F270">
        <v>20</v>
      </c>
      <c r="G270" s="7">
        <v>82.21</v>
      </c>
      <c r="H270">
        <v>4</v>
      </c>
      <c r="I270" t="s">
        <v>27</v>
      </c>
      <c r="J270" t="s">
        <v>28</v>
      </c>
      <c r="K270" s="6"/>
      <c r="L270" s="7">
        <v>0</v>
      </c>
    </row>
    <row r="271" spans="1:12" x14ac:dyDescent="0.3">
      <c r="A271" t="s">
        <v>307</v>
      </c>
      <c r="B271" s="6">
        <v>45982</v>
      </c>
      <c r="C271" t="s">
        <v>30</v>
      </c>
      <c r="D271" t="s">
        <v>45</v>
      </c>
      <c r="E271" t="s">
        <v>26</v>
      </c>
      <c r="F271">
        <v>9</v>
      </c>
      <c r="G271" s="7">
        <v>215.84</v>
      </c>
      <c r="H271">
        <v>5</v>
      </c>
      <c r="I271" t="s">
        <v>38</v>
      </c>
      <c r="J271" t="s">
        <v>28</v>
      </c>
      <c r="K271" s="6"/>
      <c r="L271" s="7">
        <v>0</v>
      </c>
    </row>
    <row r="272" spans="1:12" x14ac:dyDescent="0.3">
      <c r="A272" t="s">
        <v>308</v>
      </c>
      <c r="B272" s="6">
        <v>46195</v>
      </c>
      <c r="C272" t="s">
        <v>43</v>
      </c>
      <c r="D272" t="s">
        <v>25</v>
      </c>
      <c r="E272" t="s">
        <v>41</v>
      </c>
      <c r="F272">
        <v>2</v>
      </c>
      <c r="G272" s="7">
        <v>60.06</v>
      </c>
      <c r="H272">
        <v>1</v>
      </c>
      <c r="I272" t="s">
        <v>35</v>
      </c>
      <c r="J272" t="s">
        <v>28</v>
      </c>
      <c r="K272" s="6"/>
      <c r="L272" s="7">
        <v>0</v>
      </c>
    </row>
    <row r="273" spans="1:12" x14ac:dyDescent="0.3">
      <c r="A273" t="s">
        <v>309</v>
      </c>
      <c r="B273" s="6">
        <v>45038</v>
      </c>
      <c r="C273" t="s">
        <v>24</v>
      </c>
      <c r="D273" t="s">
        <v>25</v>
      </c>
      <c r="E273" t="s">
        <v>26</v>
      </c>
      <c r="F273">
        <v>40</v>
      </c>
      <c r="G273" s="7">
        <v>42.62</v>
      </c>
      <c r="H273">
        <v>0</v>
      </c>
      <c r="I273" t="s">
        <v>35</v>
      </c>
      <c r="J273" t="s">
        <v>28</v>
      </c>
      <c r="K273" s="6"/>
      <c r="L273" s="7">
        <v>0</v>
      </c>
    </row>
    <row r="274" spans="1:12" x14ac:dyDescent="0.3">
      <c r="A274" t="s">
        <v>310</v>
      </c>
      <c r="B274" s="6">
        <v>45130</v>
      </c>
      <c r="C274" t="s">
        <v>32</v>
      </c>
      <c r="D274" t="s">
        <v>45</v>
      </c>
      <c r="E274" t="s">
        <v>26</v>
      </c>
      <c r="F274">
        <v>37</v>
      </c>
      <c r="G274" s="7">
        <v>171.82</v>
      </c>
      <c r="H274">
        <v>1</v>
      </c>
      <c r="I274" t="s">
        <v>38</v>
      </c>
      <c r="J274" t="s">
        <v>28</v>
      </c>
      <c r="K274" s="6"/>
      <c r="L274" s="7">
        <v>0</v>
      </c>
    </row>
    <row r="275" spans="1:12" x14ac:dyDescent="0.3">
      <c r="A275" t="s">
        <v>311</v>
      </c>
      <c r="B275" s="6">
        <v>46008</v>
      </c>
      <c r="C275" t="s">
        <v>32</v>
      </c>
      <c r="D275" t="s">
        <v>45</v>
      </c>
      <c r="E275" t="s">
        <v>41</v>
      </c>
      <c r="F275">
        <v>8</v>
      </c>
      <c r="G275" s="7">
        <v>231.98</v>
      </c>
      <c r="H275">
        <v>3</v>
      </c>
      <c r="I275" t="s">
        <v>35</v>
      </c>
      <c r="J275" t="s">
        <v>28</v>
      </c>
      <c r="K275" s="6"/>
      <c r="L275" s="7">
        <v>0</v>
      </c>
    </row>
    <row r="276" spans="1:12" x14ac:dyDescent="0.3">
      <c r="A276" t="s">
        <v>312</v>
      </c>
      <c r="B276" s="6">
        <v>45529</v>
      </c>
      <c r="C276" t="s">
        <v>30</v>
      </c>
      <c r="D276" t="s">
        <v>25</v>
      </c>
      <c r="E276" t="s">
        <v>33</v>
      </c>
      <c r="F276">
        <v>24</v>
      </c>
      <c r="G276" s="7">
        <v>61.99</v>
      </c>
      <c r="H276">
        <v>2</v>
      </c>
      <c r="I276" t="s">
        <v>35</v>
      </c>
      <c r="J276" t="s">
        <v>28</v>
      </c>
      <c r="K276" s="6"/>
      <c r="L276" s="7">
        <v>0</v>
      </c>
    </row>
    <row r="277" spans="1:12" x14ac:dyDescent="0.3">
      <c r="A277" t="s">
        <v>313</v>
      </c>
      <c r="B277" s="6">
        <v>45544</v>
      </c>
      <c r="C277" t="s">
        <v>30</v>
      </c>
      <c r="D277" t="s">
        <v>25</v>
      </c>
      <c r="E277" t="s">
        <v>41</v>
      </c>
      <c r="F277">
        <v>23</v>
      </c>
      <c r="G277" s="7">
        <v>46.94</v>
      </c>
      <c r="H277">
        <v>3</v>
      </c>
      <c r="I277" t="s">
        <v>38</v>
      </c>
      <c r="J277" t="s">
        <v>52</v>
      </c>
      <c r="K277" s="6">
        <v>46225</v>
      </c>
      <c r="L277" s="7">
        <v>46.94</v>
      </c>
    </row>
    <row r="278" spans="1:12" x14ac:dyDescent="0.3">
      <c r="A278" t="s">
        <v>314</v>
      </c>
      <c r="B278" s="6">
        <v>45373</v>
      </c>
      <c r="C278" t="s">
        <v>32</v>
      </c>
      <c r="D278" t="s">
        <v>45</v>
      </c>
      <c r="E278" t="s">
        <v>41</v>
      </c>
      <c r="F278">
        <v>29</v>
      </c>
      <c r="G278" s="7">
        <v>232.91</v>
      </c>
      <c r="H278">
        <v>6</v>
      </c>
      <c r="I278" t="s">
        <v>38</v>
      </c>
      <c r="J278" t="s">
        <v>52</v>
      </c>
      <c r="K278" s="6">
        <v>46059</v>
      </c>
      <c r="L278" s="7">
        <v>232.91</v>
      </c>
    </row>
    <row r="279" spans="1:12" x14ac:dyDescent="0.3">
      <c r="A279" t="s">
        <v>315</v>
      </c>
      <c r="B279" s="6">
        <v>45739</v>
      </c>
      <c r="C279" t="s">
        <v>30</v>
      </c>
      <c r="D279" t="s">
        <v>45</v>
      </c>
      <c r="E279" t="s">
        <v>26</v>
      </c>
      <c r="F279">
        <v>17</v>
      </c>
      <c r="G279" s="7">
        <v>186.03</v>
      </c>
      <c r="H279">
        <v>3</v>
      </c>
      <c r="I279" t="s">
        <v>35</v>
      </c>
      <c r="J279" t="s">
        <v>28</v>
      </c>
      <c r="K279" s="6"/>
      <c r="L279" s="7">
        <v>0</v>
      </c>
    </row>
    <row r="280" spans="1:12" x14ac:dyDescent="0.3">
      <c r="A280" t="s">
        <v>316</v>
      </c>
      <c r="B280" s="6">
        <v>46209</v>
      </c>
      <c r="C280" t="s">
        <v>30</v>
      </c>
      <c r="D280" t="s">
        <v>45</v>
      </c>
      <c r="E280" t="s">
        <v>33</v>
      </c>
      <c r="F280">
        <v>1</v>
      </c>
      <c r="G280" s="7">
        <v>249.78</v>
      </c>
      <c r="H280">
        <v>2</v>
      </c>
      <c r="I280" t="s">
        <v>27</v>
      </c>
      <c r="J280" t="s">
        <v>28</v>
      </c>
      <c r="K280" s="6"/>
      <c r="L280" s="7">
        <v>0</v>
      </c>
    </row>
    <row r="281" spans="1:12" x14ac:dyDescent="0.3">
      <c r="A281" t="s">
        <v>317</v>
      </c>
      <c r="B281" s="6">
        <v>45876</v>
      </c>
      <c r="C281" t="s">
        <v>24</v>
      </c>
      <c r="D281" t="s">
        <v>25</v>
      </c>
      <c r="E281" t="s">
        <v>33</v>
      </c>
      <c r="F281">
        <v>12</v>
      </c>
      <c r="G281" s="7">
        <v>45.57</v>
      </c>
      <c r="H281">
        <v>4</v>
      </c>
      <c r="I281" t="s">
        <v>38</v>
      </c>
      <c r="J281" t="s">
        <v>52</v>
      </c>
      <c r="K281" s="6">
        <v>46064</v>
      </c>
      <c r="L281" s="7">
        <v>45.57</v>
      </c>
    </row>
    <row r="282" spans="1:12" x14ac:dyDescent="0.3">
      <c r="A282" t="s">
        <v>318</v>
      </c>
      <c r="B282" s="6">
        <v>44996</v>
      </c>
      <c r="C282" t="s">
        <v>32</v>
      </c>
      <c r="D282" t="s">
        <v>37</v>
      </c>
      <c r="E282" t="s">
        <v>26</v>
      </c>
      <c r="F282">
        <v>41</v>
      </c>
      <c r="G282" s="7">
        <v>90.24</v>
      </c>
      <c r="H282">
        <v>2</v>
      </c>
      <c r="I282" t="s">
        <v>38</v>
      </c>
      <c r="J282" t="s">
        <v>28</v>
      </c>
      <c r="K282" s="6"/>
      <c r="L282" s="7">
        <v>0</v>
      </c>
    </row>
    <row r="283" spans="1:12" x14ac:dyDescent="0.3">
      <c r="A283" t="s">
        <v>319</v>
      </c>
      <c r="B283" s="6">
        <v>45283</v>
      </c>
      <c r="C283" t="s">
        <v>43</v>
      </c>
      <c r="D283" t="s">
        <v>45</v>
      </c>
      <c r="E283" t="s">
        <v>26</v>
      </c>
      <c r="F283">
        <v>32</v>
      </c>
      <c r="G283" s="7">
        <v>157.71</v>
      </c>
      <c r="H283">
        <v>3</v>
      </c>
      <c r="I283" t="s">
        <v>38</v>
      </c>
      <c r="J283" t="s">
        <v>28</v>
      </c>
      <c r="K283" s="6"/>
      <c r="L283" s="7">
        <v>0</v>
      </c>
    </row>
    <row r="284" spans="1:12" x14ac:dyDescent="0.3">
      <c r="A284" t="s">
        <v>320</v>
      </c>
      <c r="B284" s="6">
        <v>46079</v>
      </c>
      <c r="C284" t="s">
        <v>43</v>
      </c>
      <c r="D284" t="s">
        <v>25</v>
      </c>
      <c r="E284" t="s">
        <v>41</v>
      </c>
      <c r="F284">
        <v>6</v>
      </c>
      <c r="G284" s="7">
        <v>38.869999999999997</v>
      </c>
      <c r="H284">
        <v>2</v>
      </c>
      <c r="I284" t="s">
        <v>35</v>
      </c>
      <c r="J284" t="s">
        <v>28</v>
      </c>
      <c r="K284" s="6"/>
      <c r="L284" s="7">
        <v>0</v>
      </c>
    </row>
    <row r="285" spans="1:12" x14ac:dyDescent="0.3">
      <c r="A285" t="s">
        <v>321</v>
      </c>
      <c r="B285" s="6">
        <v>45969</v>
      </c>
      <c r="C285" t="s">
        <v>24</v>
      </c>
      <c r="D285" t="s">
        <v>25</v>
      </c>
      <c r="E285" t="s">
        <v>26</v>
      </c>
      <c r="F285">
        <v>9</v>
      </c>
      <c r="G285" s="7">
        <v>36.799999999999997</v>
      </c>
      <c r="H285">
        <v>6</v>
      </c>
      <c r="I285" t="s">
        <v>27</v>
      </c>
      <c r="J285" t="s">
        <v>28</v>
      </c>
      <c r="K285" s="6"/>
      <c r="L285" s="7">
        <v>0</v>
      </c>
    </row>
    <row r="286" spans="1:12" x14ac:dyDescent="0.3">
      <c r="A286" t="s">
        <v>322</v>
      </c>
      <c r="B286" s="6">
        <v>45814</v>
      </c>
      <c r="C286" t="s">
        <v>30</v>
      </c>
      <c r="D286" t="s">
        <v>25</v>
      </c>
      <c r="E286" t="s">
        <v>26</v>
      </c>
      <c r="F286">
        <v>14</v>
      </c>
      <c r="G286" s="7">
        <v>62.16</v>
      </c>
      <c r="H286">
        <v>3</v>
      </c>
      <c r="I286" t="s">
        <v>38</v>
      </c>
      <c r="J286" t="s">
        <v>28</v>
      </c>
      <c r="K286" s="6"/>
      <c r="L286" s="7">
        <v>0</v>
      </c>
    </row>
    <row r="287" spans="1:12" x14ac:dyDescent="0.3">
      <c r="A287" t="s">
        <v>323</v>
      </c>
      <c r="B287" s="6">
        <v>45759</v>
      </c>
      <c r="C287" t="s">
        <v>30</v>
      </c>
      <c r="D287" t="s">
        <v>45</v>
      </c>
      <c r="E287" t="s">
        <v>33</v>
      </c>
      <c r="F287">
        <v>16</v>
      </c>
      <c r="G287" s="7">
        <v>249.57</v>
      </c>
      <c r="H287">
        <v>1</v>
      </c>
      <c r="I287" t="s">
        <v>27</v>
      </c>
      <c r="J287" t="s">
        <v>28</v>
      </c>
      <c r="K287" s="6"/>
      <c r="L287" s="7">
        <v>0</v>
      </c>
    </row>
    <row r="288" spans="1:12" x14ac:dyDescent="0.3">
      <c r="A288" t="s">
        <v>324</v>
      </c>
      <c r="B288" s="6">
        <v>44976</v>
      </c>
      <c r="C288" t="s">
        <v>32</v>
      </c>
      <c r="D288" t="s">
        <v>25</v>
      </c>
      <c r="E288" t="s">
        <v>33</v>
      </c>
      <c r="F288">
        <v>42</v>
      </c>
      <c r="G288" s="7">
        <v>51.57</v>
      </c>
      <c r="H288">
        <v>2</v>
      </c>
      <c r="I288" t="s">
        <v>35</v>
      </c>
      <c r="J288" t="s">
        <v>28</v>
      </c>
      <c r="K288" s="6"/>
      <c r="L288" s="7">
        <v>0</v>
      </c>
    </row>
    <row r="289" spans="1:12" x14ac:dyDescent="0.3">
      <c r="A289" t="s">
        <v>325</v>
      </c>
      <c r="B289" s="6">
        <v>45008</v>
      </c>
      <c r="C289" t="s">
        <v>30</v>
      </c>
      <c r="D289" t="s">
        <v>25</v>
      </c>
      <c r="E289" t="s">
        <v>41</v>
      </c>
      <c r="F289">
        <v>41</v>
      </c>
      <c r="G289" s="7">
        <v>56.06</v>
      </c>
      <c r="H289">
        <v>3</v>
      </c>
      <c r="I289" t="s">
        <v>27</v>
      </c>
      <c r="J289" t="s">
        <v>28</v>
      </c>
      <c r="K289" s="6"/>
      <c r="L289" s="7">
        <v>0</v>
      </c>
    </row>
    <row r="290" spans="1:12" x14ac:dyDescent="0.3">
      <c r="A290" t="s">
        <v>326</v>
      </c>
      <c r="B290" s="6">
        <v>46119</v>
      </c>
      <c r="C290" t="s">
        <v>30</v>
      </c>
      <c r="D290" t="s">
        <v>45</v>
      </c>
      <c r="E290" t="s">
        <v>41</v>
      </c>
      <c r="F290">
        <v>4</v>
      </c>
      <c r="G290" s="7">
        <v>148.03</v>
      </c>
      <c r="H290">
        <v>0</v>
      </c>
      <c r="I290" t="s">
        <v>27</v>
      </c>
      <c r="J290" t="s">
        <v>28</v>
      </c>
      <c r="K290" s="6"/>
      <c r="L290" s="7">
        <v>0</v>
      </c>
    </row>
    <row r="291" spans="1:12" x14ac:dyDescent="0.3">
      <c r="A291" t="s">
        <v>327</v>
      </c>
      <c r="B291" s="6">
        <v>45710</v>
      </c>
      <c r="C291" t="s">
        <v>24</v>
      </c>
      <c r="D291" t="s">
        <v>45</v>
      </c>
      <c r="E291" t="s">
        <v>26</v>
      </c>
      <c r="F291">
        <v>18</v>
      </c>
      <c r="G291" s="7">
        <v>256.22000000000003</v>
      </c>
      <c r="H291">
        <v>1</v>
      </c>
      <c r="I291" t="s">
        <v>35</v>
      </c>
      <c r="J291" t="s">
        <v>52</v>
      </c>
      <c r="K291" s="6">
        <v>45744</v>
      </c>
      <c r="L291" s="7">
        <v>256.22000000000003</v>
      </c>
    </row>
    <row r="292" spans="1:12" x14ac:dyDescent="0.3">
      <c r="A292" t="s">
        <v>328</v>
      </c>
      <c r="B292" s="6">
        <v>45632</v>
      </c>
      <c r="C292" t="s">
        <v>32</v>
      </c>
      <c r="D292" t="s">
        <v>37</v>
      </c>
      <c r="E292" t="s">
        <v>41</v>
      </c>
      <c r="F292">
        <v>20</v>
      </c>
      <c r="G292" s="7">
        <v>122.66</v>
      </c>
      <c r="H292">
        <v>2</v>
      </c>
      <c r="I292" t="s">
        <v>35</v>
      </c>
      <c r="J292" t="s">
        <v>28</v>
      </c>
      <c r="K292" s="6"/>
      <c r="L292" s="7">
        <v>0</v>
      </c>
    </row>
    <row r="293" spans="1:12" x14ac:dyDescent="0.3">
      <c r="A293" t="s">
        <v>329</v>
      </c>
      <c r="B293" s="6">
        <v>45915</v>
      </c>
      <c r="C293" t="s">
        <v>32</v>
      </c>
      <c r="D293" t="s">
        <v>45</v>
      </c>
      <c r="E293" t="s">
        <v>33</v>
      </c>
      <c r="F293">
        <v>11</v>
      </c>
      <c r="G293" s="7">
        <v>253.04</v>
      </c>
      <c r="H293">
        <v>1</v>
      </c>
      <c r="I293" t="s">
        <v>35</v>
      </c>
      <c r="J293" t="s">
        <v>28</v>
      </c>
      <c r="K293" s="6"/>
      <c r="L293" s="7">
        <v>0</v>
      </c>
    </row>
    <row r="294" spans="1:12" x14ac:dyDescent="0.3">
      <c r="A294" t="s">
        <v>330</v>
      </c>
      <c r="B294" s="6">
        <v>44950</v>
      </c>
      <c r="C294" t="s">
        <v>43</v>
      </c>
      <c r="D294" t="s">
        <v>45</v>
      </c>
      <c r="E294" t="s">
        <v>26</v>
      </c>
      <c r="F294">
        <v>43</v>
      </c>
      <c r="G294" s="7">
        <v>215.19</v>
      </c>
      <c r="H294">
        <v>1</v>
      </c>
      <c r="I294" t="s">
        <v>27</v>
      </c>
      <c r="J294" t="s">
        <v>28</v>
      </c>
      <c r="K294" s="6"/>
      <c r="L294" s="7">
        <v>0</v>
      </c>
    </row>
    <row r="295" spans="1:12" x14ac:dyDescent="0.3">
      <c r="A295" t="s">
        <v>331</v>
      </c>
      <c r="B295" s="6">
        <v>45825</v>
      </c>
      <c r="C295" t="s">
        <v>24</v>
      </c>
      <c r="D295" t="s">
        <v>25</v>
      </c>
      <c r="E295" t="s">
        <v>41</v>
      </c>
      <c r="F295">
        <v>14</v>
      </c>
      <c r="G295" s="7">
        <v>59.3</v>
      </c>
      <c r="H295">
        <v>4</v>
      </c>
      <c r="I295" t="s">
        <v>27</v>
      </c>
      <c r="J295" t="s">
        <v>28</v>
      </c>
      <c r="K295" s="6"/>
      <c r="L295" s="7">
        <v>0</v>
      </c>
    </row>
    <row r="296" spans="1:12" x14ac:dyDescent="0.3">
      <c r="A296" t="s">
        <v>332</v>
      </c>
      <c r="B296" s="6">
        <v>45919</v>
      </c>
      <c r="C296" t="s">
        <v>32</v>
      </c>
      <c r="D296" t="s">
        <v>37</v>
      </c>
      <c r="E296" t="s">
        <v>41</v>
      </c>
      <c r="F296">
        <v>11</v>
      </c>
      <c r="G296" s="7">
        <v>107.58</v>
      </c>
      <c r="H296">
        <v>2</v>
      </c>
      <c r="I296" t="s">
        <v>35</v>
      </c>
      <c r="J296" t="s">
        <v>52</v>
      </c>
      <c r="K296" s="6">
        <v>46052</v>
      </c>
      <c r="L296" s="7">
        <v>107.58</v>
      </c>
    </row>
    <row r="297" spans="1:12" x14ac:dyDescent="0.3">
      <c r="A297" t="s">
        <v>333</v>
      </c>
      <c r="B297" s="6">
        <v>45025</v>
      </c>
      <c r="C297" t="s">
        <v>24</v>
      </c>
      <c r="D297" t="s">
        <v>25</v>
      </c>
      <c r="E297" t="s">
        <v>41</v>
      </c>
      <c r="F297">
        <v>40</v>
      </c>
      <c r="G297" s="7">
        <v>43.92</v>
      </c>
      <c r="H297">
        <v>4</v>
      </c>
      <c r="I297" t="s">
        <v>35</v>
      </c>
      <c r="J297" t="s">
        <v>28</v>
      </c>
      <c r="K297" s="6"/>
      <c r="L297" s="7">
        <v>0</v>
      </c>
    </row>
    <row r="298" spans="1:12" x14ac:dyDescent="0.3">
      <c r="A298" t="s">
        <v>334</v>
      </c>
      <c r="B298" s="6">
        <v>46071</v>
      </c>
      <c r="C298" t="s">
        <v>24</v>
      </c>
      <c r="D298" t="s">
        <v>45</v>
      </c>
      <c r="E298" t="s">
        <v>41</v>
      </c>
      <c r="F298">
        <v>6</v>
      </c>
      <c r="G298" s="7">
        <v>218.15</v>
      </c>
      <c r="H298">
        <v>5</v>
      </c>
      <c r="I298" t="s">
        <v>27</v>
      </c>
      <c r="J298" t="s">
        <v>52</v>
      </c>
      <c r="K298" s="6">
        <v>46213</v>
      </c>
      <c r="L298" s="7">
        <v>218.15</v>
      </c>
    </row>
    <row r="299" spans="1:12" x14ac:dyDescent="0.3">
      <c r="A299" t="s">
        <v>335</v>
      </c>
      <c r="B299" s="6">
        <v>45254</v>
      </c>
      <c r="C299" t="s">
        <v>24</v>
      </c>
      <c r="D299" t="s">
        <v>37</v>
      </c>
      <c r="E299" t="s">
        <v>26</v>
      </c>
      <c r="F299">
        <v>33</v>
      </c>
      <c r="G299" s="7">
        <v>96.69</v>
      </c>
      <c r="H299">
        <v>4</v>
      </c>
      <c r="I299" t="s">
        <v>27</v>
      </c>
      <c r="J299" t="s">
        <v>28</v>
      </c>
      <c r="K299" s="6"/>
      <c r="L299" s="7">
        <v>0</v>
      </c>
    </row>
    <row r="300" spans="1:12" x14ac:dyDescent="0.3">
      <c r="A300" t="s">
        <v>336</v>
      </c>
      <c r="B300" s="6">
        <v>46206</v>
      </c>
      <c r="C300" t="s">
        <v>30</v>
      </c>
      <c r="D300" t="s">
        <v>37</v>
      </c>
      <c r="E300" t="s">
        <v>26</v>
      </c>
      <c r="F300">
        <v>1</v>
      </c>
      <c r="G300" s="7">
        <v>75.63</v>
      </c>
      <c r="H300">
        <v>3</v>
      </c>
      <c r="I300" t="s">
        <v>38</v>
      </c>
      <c r="J300" t="s">
        <v>52</v>
      </c>
      <c r="K300" s="6">
        <v>46236</v>
      </c>
      <c r="L300" s="7">
        <v>75.63</v>
      </c>
    </row>
    <row r="301" spans="1:12" x14ac:dyDescent="0.3">
      <c r="A301" t="s">
        <v>337</v>
      </c>
      <c r="B301" s="6">
        <v>45711</v>
      </c>
      <c r="C301" t="s">
        <v>30</v>
      </c>
      <c r="D301" t="s">
        <v>37</v>
      </c>
      <c r="E301" t="s">
        <v>33</v>
      </c>
      <c r="F301">
        <v>18</v>
      </c>
      <c r="G301" s="7">
        <v>77.53</v>
      </c>
      <c r="H301">
        <v>5</v>
      </c>
      <c r="I301" t="s">
        <v>27</v>
      </c>
      <c r="J301" t="s">
        <v>28</v>
      </c>
      <c r="K301" s="6"/>
      <c r="L301" s="7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"/>
  <sheetViews>
    <sheetView workbookViewId="0"/>
  </sheetViews>
  <sheetFormatPr defaultRowHeight="14.4" x14ac:dyDescent="0.3"/>
  <cols>
    <col min="1" max="1" width="18" customWidth="1"/>
    <col min="2" max="3" width="16" customWidth="1"/>
    <col min="4" max="4" width="14" customWidth="1"/>
    <col min="5" max="5" width="18" customWidth="1"/>
    <col min="6" max="6" width="4" customWidth="1"/>
    <col min="7" max="7" width="18" customWidth="1"/>
    <col min="8" max="8" width="16" customWidth="1"/>
    <col min="9" max="10" width="14" customWidth="1"/>
    <col min="11" max="11" width="18" customWidth="1"/>
  </cols>
  <sheetData>
    <row r="1" spans="1:11" ht="25.8" x14ac:dyDescent="0.5">
      <c r="A1" s="16" t="s">
        <v>338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x14ac:dyDescent="0.3">
      <c r="A3" s="5" t="s">
        <v>339</v>
      </c>
      <c r="B3" s="5" t="s">
        <v>340</v>
      </c>
    </row>
    <row r="4" spans="1:11" x14ac:dyDescent="0.3">
      <c r="A4" s="8" t="s">
        <v>341</v>
      </c>
      <c r="B4" s="9">
        <f>COUNTA(Customer_Data!A2:A301)</f>
        <v>300</v>
      </c>
    </row>
    <row r="5" spans="1:11" x14ac:dyDescent="0.3">
      <c r="A5" s="8" t="s">
        <v>342</v>
      </c>
      <c r="B5" s="9">
        <f>COUNTIF(Customer_Data!J2:J301,"Yes")</f>
        <v>65</v>
      </c>
    </row>
    <row r="6" spans="1:11" x14ac:dyDescent="0.3">
      <c r="A6" s="8" t="s">
        <v>343</v>
      </c>
      <c r="B6" s="10">
        <f>IFERROR(B5/B4,0)</f>
        <v>0.21666666666666667</v>
      </c>
    </row>
    <row r="7" spans="1:11" x14ac:dyDescent="0.3">
      <c r="A7" s="8" t="s">
        <v>344</v>
      </c>
      <c r="B7" s="7">
        <f>SUMIF(Customer_Data!J2:J301,"Yes",Customer_Data!L2:L301)</f>
        <v>6353.4900000000007</v>
      </c>
    </row>
    <row r="8" spans="1:11" x14ac:dyDescent="0.3">
      <c r="A8" s="8" t="s">
        <v>345</v>
      </c>
      <c r="B8" s="11">
        <f>IFERROR(AVERAGEIF(Customer_Data!J2:J301,"Yes",Customer_Data!F2:F301),0)</f>
        <v>17.861538461538462</v>
      </c>
    </row>
    <row r="11" spans="1:11" ht="18" x14ac:dyDescent="0.35">
      <c r="A11" s="14" t="s">
        <v>346</v>
      </c>
      <c r="B11" s="15"/>
      <c r="C11" s="15"/>
      <c r="D11" s="15"/>
      <c r="E11" s="15"/>
      <c r="G11" s="14" t="s">
        <v>347</v>
      </c>
      <c r="H11" s="15"/>
      <c r="I11" s="15"/>
      <c r="J11" s="15"/>
    </row>
    <row r="12" spans="1:11" x14ac:dyDescent="0.3">
      <c r="A12" s="5" t="s">
        <v>15</v>
      </c>
      <c r="B12" s="5" t="s">
        <v>348</v>
      </c>
      <c r="C12" s="5" t="s">
        <v>20</v>
      </c>
      <c r="D12" s="5" t="s">
        <v>343</v>
      </c>
      <c r="E12" s="5" t="s">
        <v>22</v>
      </c>
      <c r="G12" s="5" t="s">
        <v>13</v>
      </c>
      <c r="H12" s="5" t="s">
        <v>348</v>
      </c>
      <c r="I12" s="5" t="s">
        <v>20</v>
      </c>
      <c r="J12" s="5" t="s">
        <v>343</v>
      </c>
    </row>
    <row r="13" spans="1:11" x14ac:dyDescent="0.3">
      <c r="A13" t="s">
        <v>41</v>
      </c>
      <c r="B13">
        <f>COUNTIF(Customer_Data!$E$2:$E$301,A13)</f>
        <v>168</v>
      </c>
      <c r="C13">
        <f>COUNTIFS(Customer_Data!$E$2:$E$301,A13,Customer_Data!$J$2:$J$301,"Yes")</f>
        <v>45</v>
      </c>
      <c r="D13" s="10">
        <f>IFERROR(C13/B13,0)</f>
        <v>0.26785714285714285</v>
      </c>
      <c r="E13" s="7">
        <f>SUMIFS(Customer_Data!$L$2:$L$301,Customer_Data!$E$2:$E$301,A13,Customer_Data!$J$2:$J$301,"Yes")</f>
        <v>4563.7800000000007</v>
      </c>
      <c r="G13" t="s">
        <v>24</v>
      </c>
      <c r="H13">
        <f>COUNTIF(Customer_Data!$C$2:$C$301,G13)</f>
        <v>79</v>
      </c>
      <c r="I13">
        <f>COUNTIFS(Customer_Data!$C$2:$C$301,G13,Customer_Data!$J$2:$J$301,"Yes")</f>
        <v>19</v>
      </c>
      <c r="J13" s="10">
        <f>IFERROR(I13/H13,0)</f>
        <v>0.24050632911392406</v>
      </c>
    </row>
    <row r="14" spans="1:11" x14ac:dyDescent="0.3">
      <c r="A14" t="s">
        <v>26</v>
      </c>
      <c r="B14">
        <f>COUNTIF(Customer_Data!$E$2:$E$301,A14)</f>
        <v>89</v>
      </c>
      <c r="C14">
        <f>COUNTIFS(Customer_Data!$E$2:$E$301,A14,Customer_Data!$J$2:$J$301,"Yes")</f>
        <v>14</v>
      </c>
      <c r="D14" s="10">
        <f>IFERROR(C14/B14,0)</f>
        <v>0.15730337078651685</v>
      </c>
      <c r="E14" s="7">
        <f>SUMIFS(Customer_Data!$L$2:$L$301,Customer_Data!$E$2:$E$301,A14,Customer_Data!$J$2:$J$301,"Yes")</f>
        <v>1349.13</v>
      </c>
      <c r="G14" t="s">
        <v>30</v>
      </c>
      <c r="H14">
        <f>COUNTIF(Customer_Data!$C$2:$C$301,G14)</f>
        <v>72</v>
      </c>
      <c r="I14">
        <f>COUNTIFS(Customer_Data!$C$2:$C$301,G14,Customer_Data!$J$2:$J$301,"Yes")</f>
        <v>16</v>
      </c>
      <c r="J14" s="10">
        <f>IFERROR(I14/H14,0)</f>
        <v>0.22222222222222221</v>
      </c>
    </row>
    <row r="15" spans="1:11" x14ac:dyDescent="0.3">
      <c r="A15" t="s">
        <v>33</v>
      </c>
      <c r="B15">
        <f>COUNTIF(Customer_Data!$E$2:$E$301,A15)</f>
        <v>43</v>
      </c>
      <c r="C15">
        <f>COUNTIFS(Customer_Data!$E$2:$E$301,A15,Customer_Data!$J$2:$J$301,"Yes")</f>
        <v>6</v>
      </c>
      <c r="D15" s="10">
        <f>IFERROR(C15/B15,0)</f>
        <v>0.13953488372093023</v>
      </c>
      <c r="E15" s="7">
        <f>SUMIFS(Customer_Data!$L$2:$L$301,Customer_Data!$E$2:$E$301,A15,Customer_Data!$J$2:$J$301,"Yes")</f>
        <v>440.58</v>
      </c>
      <c r="G15" t="s">
        <v>43</v>
      </c>
      <c r="H15">
        <f>COUNTIF(Customer_Data!$C$2:$C$301,G15)</f>
        <v>71</v>
      </c>
      <c r="I15">
        <f>COUNTIFS(Customer_Data!$C$2:$C$301,G15,Customer_Data!$J$2:$J$301,"Yes")</f>
        <v>16</v>
      </c>
      <c r="J15" s="10">
        <f>IFERROR(I15/H15,0)</f>
        <v>0.22535211267605634</v>
      </c>
    </row>
    <row r="16" spans="1:11" x14ac:dyDescent="0.3">
      <c r="G16" t="s">
        <v>32</v>
      </c>
      <c r="H16">
        <f>COUNTIF(Customer_Data!$C$2:$C$301,G16)</f>
        <v>78</v>
      </c>
      <c r="I16">
        <f>COUNTIFS(Customer_Data!$C$2:$C$301,G16,Customer_Data!$J$2:$J$301,"Yes")</f>
        <v>14</v>
      </c>
      <c r="J16" s="10">
        <f>IFERROR(I16/H16,0)</f>
        <v>0.17948717948717949</v>
      </c>
    </row>
    <row r="19" spans="1:11" ht="18" x14ac:dyDescent="0.35">
      <c r="A19" s="14" t="s">
        <v>349</v>
      </c>
      <c r="B19" s="15"/>
      <c r="C19" s="15"/>
      <c r="D19" s="15"/>
      <c r="E19" s="15"/>
      <c r="G19" s="14" t="s">
        <v>350</v>
      </c>
      <c r="H19" s="15"/>
      <c r="I19" s="15"/>
      <c r="J19" s="15"/>
      <c r="K19" s="15"/>
    </row>
    <row r="20" spans="1:11" x14ac:dyDescent="0.3">
      <c r="A20" s="5" t="s">
        <v>351</v>
      </c>
      <c r="B20" s="5" t="s">
        <v>348</v>
      </c>
      <c r="C20" s="5" t="s">
        <v>20</v>
      </c>
      <c r="D20" s="5" t="s">
        <v>343</v>
      </c>
      <c r="E20" s="5" t="s">
        <v>22</v>
      </c>
      <c r="G20" s="5" t="s">
        <v>352</v>
      </c>
      <c r="H20" s="5" t="s">
        <v>348</v>
      </c>
      <c r="I20" s="5" t="s">
        <v>20</v>
      </c>
      <c r="J20" s="5" t="s">
        <v>343</v>
      </c>
      <c r="K20" s="5" t="s">
        <v>22</v>
      </c>
    </row>
    <row r="21" spans="1:11" x14ac:dyDescent="0.3">
      <c r="A21" t="s">
        <v>353</v>
      </c>
      <c r="B21">
        <f>COUNTIFS(Customer_Data!$F$2:$F$301,"&gt;=0",Customer_Data!$F$2:$F$301,"&lt;=6")</f>
        <v>60</v>
      </c>
      <c r="C21">
        <f>COUNTIFS(Customer_Data!$F$2:$F$301,"&gt;=0",Customer_Data!$F$2:$F$301,"&lt;=6",Customer_Data!$J$2:$J$301,"Yes")</f>
        <v>24</v>
      </c>
      <c r="D21" s="10">
        <f>IFERROR(C21/B21,0)</f>
        <v>0.4</v>
      </c>
      <c r="E21" s="7">
        <f>SUMIFS(Customer_Data!$L$2:$L$301,Customer_Data!$F$2:$F$301,"&gt;=0",Customer_Data!$F$2:$F$301,"&lt;=6",Customer_Data!$J$2:$J$301,"Yes")</f>
        <v>2295.3700000000003</v>
      </c>
      <c r="G21" t="s">
        <v>25</v>
      </c>
      <c r="H21">
        <f>COUNTIF(Customer_Data!$D$2:$D$301,G21)</f>
        <v>120</v>
      </c>
      <c r="I21">
        <f>COUNTIFS(Customer_Data!$D$2:$D$301,G21,Customer_Data!$J$2:$J$301,"Yes")</f>
        <v>27</v>
      </c>
      <c r="J21" s="10">
        <f>IFERROR(I21/H21,0)</f>
        <v>0.22500000000000001</v>
      </c>
      <c r="K21" s="7">
        <f>SUMIFS(Customer_Data!$L$2:$L$301,Customer_Data!$D$2:$D$301,G21,Customer_Data!$J$2:$J$301,"Yes")</f>
        <v>1301.3599999999999</v>
      </c>
    </row>
    <row r="22" spans="1:11" x14ac:dyDescent="0.3">
      <c r="A22" t="s">
        <v>354</v>
      </c>
      <c r="B22">
        <f>COUNTIFS(Customer_Data!$F$2:$F$301,"&gt;=7",Customer_Data!$F$2:$F$301,"&lt;=12")</f>
        <v>40</v>
      </c>
      <c r="C22">
        <f>COUNTIFS(Customer_Data!$F$2:$F$301,"&gt;=7",Customer_Data!$F$2:$F$301,"&lt;=12",Customer_Data!$J$2:$J$301,"Yes")</f>
        <v>8</v>
      </c>
      <c r="D22" s="10">
        <f>IFERROR(C22/B22,0)</f>
        <v>0.2</v>
      </c>
      <c r="E22" s="7">
        <f>SUMIFS(Customer_Data!$L$2:$L$301,Customer_Data!$F$2:$F$301,"&gt;=7",Customer_Data!$F$2:$F$301,"&lt;=12",Customer_Data!$J$2:$J$301,"Yes")</f>
        <v>903.73000000000013</v>
      </c>
      <c r="G22" t="s">
        <v>37</v>
      </c>
      <c r="H22">
        <f>COUNTIF(Customer_Data!$D$2:$D$301,G22)</f>
        <v>97</v>
      </c>
      <c r="I22">
        <f>COUNTIFS(Customer_Data!$D$2:$D$301,G22,Customer_Data!$J$2:$J$301,"Yes")</f>
        <v>26</v>
      </c>
      <c r="J22" s="10">
        <f>IFERROR(I22/H22,0)</f>
        <v>0.26804123711340205</v>
      </c>
      <c r="K22" s="7">
        <f>SUMIFS(Customer_Data!$L$2:$L$301,Customer_Data!$D$2:$D$301,G22,Customer_Data!$J$2:$J$301,"Yes")</f>
        <v>2651.9100000000003</v>
      </c>
    </row>
    <row r="23" spans="1:11" x14ac:dyDescent="0.3">
      <c r="A23" t="s">
        <v>355</v>
      </c>
      <c r="B23">
        <f>COUNTIFS(Customer_Data!$F$2:$F$301,"&gt;=13",Customer_Data!$F$2:$F$301,"&lt;=24")</f>
        <v>78</v>
      </c>
      <c r="C23">
        <f>COUNTIFS(Customer_Data!$F$2:$F$301,"&gt;=13",Customer_Data!$F$2:$F$301,"&lt;=24",Customer_Data!$J$2:$J$301,"Yes")</f>
        <v>10</v>
      </c>
      <c r="D23" s="10">
        <f>IFERROR(C23/B23,0)</f>
        <v>0.12820512820512819</v>
      </c>
      <c r="E23" s="7">
        <f>SUMIFS(Customer_Data!$L$2:$L$301,Customer_Data!$F$2:$F$301,"&gt;=13",Customer_Data!$F$2:$F$301,"&lt;=24",Customer_Data!$J$2:$J$301,"Yes")</f>
        <v>857.46</v>
      </c>
      <c r="G23" t="s">
        <v>45</v>
      </c>
      <c r="H23">
        <f>COUNTIF(Customer_Data!$D$2:$D$301,G23)</f>
        <v>83</v>
      </c>
      <c r="I23">
        <f>COUNTIFS(Customer_Data!$D$2:$D$301,G23,Customer_Data!$J$2:$J$301,"Yes")</f>
        <v>12</v>
      </c>
      <c r="J23" s="10">
        <f>IFERROR(I23/H23,0)</f>
        <v>0.14457831325301204</v>
      </c>
      <c r="K23" s="7">
        <f>SUMIFS(Customer_Data!$L$2:$L$301,Customer_Data!$D$2:$D$301,G23,Customer_Data!$J$2:$J$301,"Yes")</f>
        <v>2400.2200000000007</v>
      </c>
    </row>
    <row r="24" spans="1:11" x14ac:dyDescent="0.3">
      <c r="A24" t="s">
        <v>356</v>
      </c>
      <c r="B24">
        <f>COUNTIFS(Customer_Data!$F$2:$F$301,"&gt;=25",Customer_Data!$F$2:$F$301,"&lt;=999")</f>
        <v>122</v>
      </c>
      <c r="C24">
        <f>COUNTIFS(Customer_Data!$F$2:$F$301,"&gt;=25",Customer_Data!$F$2:$F$301,"&lt;=999",Customer_Data!$J$2:$J$301,"Yes")</f>
        <v>23</v>
      </c>
      <c r="D24" s="10">
        <f>IFERROR(C24/B24,0)</f>
        <v>0.18852459016393441</v>
      </c>
      <c r="E24" s="7">
        <f>SUMIFS(Customer_Data!$L$2:$L$301,Customer_Data!$F$2:$F$301,"&gt;=25",Customer_Data!$F$2:$F$301,"&lt;=999",Customer_Data!$J$2:$J$301,"Yes")</f>
        <v>2296.9300000000003</v>
      </c>
    </row>
    <row r="26" spans="1:11" ht="18" x14ac:dyDescent="0.35">
      <c r="G26" s="14" t="s">
        <v>357</v>
      </c>
      <c r="H26" s="15"/>
      <c r="I26" s="15"/>
      <c r="J26" s="15"/>
    </row>
    <row r="27" spans="1:11" x14ac:dyDescent="0.3">
      <c r="G27" t="s">
        <v>358</v>
      </c>
      <c r="H27">
        <f>COUNTBLANK(Customer_Data!A2:A301)</f>
        <v>0</v>
      </c>
    </row>
    <row r="28" spans="1:11" x14ac:dyDescent="0.3">
      <c r="G28" t="s">
        <v>359</v>
      </c>
      <c r="H28">
        <f>COUNTBLANK(Customer_Data!C2:C301)</f>
        <v>0</v>
      </c>
    </row>
    <row r="29" spans="1:11" x14ac:dyDescent="0.3">
      <c r="G29" t="s">
        <v>360</v>
      </c>
      <c r="H29">
        <f>COUNTBLANK(Customer_Data!J2:J301)</f>
        <v>0</v>
      </c>
    </row>
    <row r="30" spans="1:11" x14ac:dyDescent="0.3">
      <c r="G30" t="s">
        <v>361</v>
      </c>
      <c r="H30">
        <f>COUNTIF(Customer_Data!G2:G301,"&lt;0")</f>
        <v>0</v>
      </c>
    </row>
  </sheetData>
  <mergeCells count="6">
    <mergeCell ref="A1:K1"/>
    <mergeCell ref="G26:J26"/>
    <mergeCell ref="A19:E19"/>
    <mergeCell ref="A11:E11"/>
    <mergeCell ref="G19:K19"/>
    <mergeCell ref="G11:J11"/>
  </mergeCells>
  <conditionalFormatting sqref="D21:D24">
    <cfRule type="colorScale" priority="1">
      <colorScale>
        <cfvo type="min"/>
        <cfvo type="percentile" val="50"/>
        <cfvo type="max"/>
        <color rgb="FFE2F0D9"/>
        <color rgb="FFFFF2CC"/>
        <color rgb="FFFCE4D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showGridLines="0" workbookViewId="0"/>
  </sheetViews>
  <sheetFormatPr defaultRowHeight="14.4" x14ac:dyDescent="0.3"/>
  <cols>
    <col min="1" max="12" width="13" customWidth="1"/>
  </cols>
  <sheetData>
    <row r="1" spans="1:12" ht="42" customHeight="1" x14ac:dyDescent="0.6">
      <c r="A1" s="17" t="s">
        <v>362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x14ac:dyDescent="0.3">
      <c r="A3" s="18" t="s">
        <v>348</v>
      </c>
      <c r="B3" s="15"/>
      <c r="C3" s="15"/>
      <c r="D3" s="18" t="s">
        <v>20</v>
      </c>
      <c r="E3" s="15"/>
      <c r="F3" s="15"/>
      <c r="G3" s="18" t="s">
        <v>343</v>
      </c>
      <c r="H3" s="15"/>
      <c r="I3" s="15"/>
      <c r="J3" s="18" t="s">
        <v>22</v>
      </c>
      <c r="K3" s="15"/>
      <c r="L3" s="15"/>
    </row>
    <row r="4" spans="1:12" x14ac:dyDescent="0.3">
      <c r="A4" s="19">
        <f>Analysis!B4</f>
        <v>300</v>
      </c>
      <c r="B4" s="15"/>
      <c r="C4" s="15"/>
      <c r="D4" s="19">
        <f>Analysis!B5</f>
        <v>65</v>
      </c>
      <c r="E4" s="15"/>
      <c r="F4" s="15"/>
      <c r="G4" s="20">
        <f>Analysis!B6</f>
        <v>0.21666666666666667</v>
      </c>
      <c r="H4" s="15"/>
      <c r="I4" s="15"/>
      <c r="J4" s="21">
        <f>Analysis!B7</f>
        <v>6353.4900000000007</v>
      </c>
      <c r="K4" s="15"/>
      <c r="L4" s="15"/>
    </row>
    <row r="5" spans="1:12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7" spans="1:12" ht="18" x14ac:dyDescent="0.35">
      <c r="A7" s="12" t="s">
        <v>363</v>
      </c>
    </row>
    <row r="8" spans="1:12" x14ac:dyDescent="0.3">
      <c r="A8" s="13" t="s">
        <v>364</v>
      </c>
    </row>
  </sheetData>
  <mergeCells count="9">
    <mergeCell ref="A1:L1"/>
    <mergeCell ref="D3:F3"/>
    <mergeCell ref="A3:C3"/>
    <mergeCell ref="A4:C5"/>
    <mergeCell ref="G3:I3"/>
    <mergeCell ref="D4:F5"/>
    <mergeCell ref="G4:I5"/>
    <mergeCell ref="J3:L3"/>
    <mergeCell ref="J4:L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Customer_Data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vikas Reddy</cp:lastModifiedBy>
  <dcterms:created xsi:type="dcterms:W3CDTF">2026-08-13T13:07:09Z</dcterms:created>
  <dcterms:modified xsi:type="dcterms:W3CDTF">2026-08-13T13:08:34Z</dcterms:modified>
</cp:coreProperties>
</file>